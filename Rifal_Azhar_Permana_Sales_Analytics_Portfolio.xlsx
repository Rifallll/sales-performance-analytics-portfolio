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20B7F3-4B73-4F2B-BBAE-7D3B1A56D0BC}" xr6:coauthVersionLast="47" xr6:coauthVersionMax="47" xr10:uidLastSave="{00000000-0000-0000-0000-000000000000}"/>
  <workbookProtection lockStructure="1"/>
  <bookViews>
    <workbookView xWindow="-108" yWindow="-108" windowWidth="23256" windowHeight="13176" tabRatio="500" xr2:uid="{00000000-000D-0000-FFFF-FFFF00000000}"/>
  </bookViews>
  <sheets>
    <sheet name="Cover" sheetId="1" r:id="rId1"/>
    <sheet name="Dashboard" sheetId="2" r:id="rId2"/>
    <sheet name="Overview" sheetId="3" r:id="rId3"/>
    <sheet name="Raw Data" sheetId="4" r:id="rId4"/>
    <sheet name="Sales Analysis" sheetId="5" r:id="rId5"/>
    <sheet name="Branch Analysis" sheetId="6" r:id="rId6"/>
    <sheet name="Monthly Analysis" sheetId="7" r:id="rId7"/>
    <sheet name="Customer Analysis" sheetId="8" r:id="rId8"/>
    <sheet name="Summary" sheetId="9" r:id="rId9"/>
    <sheet name="Calculations" sheetId="10" r:id="rId10"/>
  </sheets>
  <definedNames>
    <definedName name="_xlnm._FilterDatabase" localSheetId="3" hidden="1">'Raw Data'!$A$4:$N$292</definedName>
    <definedName name="_xlnm.Print_Area" localSheetId="5">'Branch Analysis'!$A$1:$H$15</definedName>
    <definedName name="_xlnm.Print_Area" localSheetId="9">Calculations!$A$1:$M$16</definedName>
    <definedName name="_xlnm.Print_Area" localSheetId="0">Cover!$A$1:$O$26</definedName>
    <definedName name="_xlnm.Print_Area" localSheetId="7">'Customer Analysis'!$A$1:$I$14</definedName>
    <definedName name="_xlnm.Print_Area" localSheetId="1">Dashboard!$A$1:$O$47</definedName>
    <definedName name="_xlnm.Print_Area" localSheetId="6">'Monthly Analysis'!$A$1:$H$16</definedName>
    <definedName name="_xlnm.Print_Area" localSheetId="2">Overview!$A$1:$H$32</definedName>
    <definedName name="_xlnm.Print_Area" localSheetId="3">'Raw Data'!$A$1:$N$292</definedName>
    <definedName name="_xlnm.Print_Area" localSheetId="4">'Sales Analysis'!$A$1:$L$12</definedName>
    <definedName name="_xlnm.Print_Area" localSheetId="8">Summary!$A$1:$H$27</definedName>
    <definedName name="_xlnm.Print_Titles" localSheetId="5">'Branch Analysis'!$5:$5</definedName>
    <definedName name="_xlnm.Print_Titles" localSheetId="9">Calculations!$4:$4</definedName>
    <definedName name="_xlnm.Print_Titles" localSheetId="7">'Customer Analysis'!$5:$5</definedName>
    <definedName name="_xlnm.Print_Titles" localSheetId="1">Dashboard!$1:$5</definedName>
    <definedName name="_xlnm.Print_Titles" localSheetId="6">'Monthly Analysis'!$4:$4</definedName>
    <definedName name="_xlnm.Print_Titles" localSheetId="3">'Raw Data'!$4:$4</definedName>
    <definedName name="_xlnm.Print_Titles" localSheetId="4">'Sales Analysis'!$4:$4</definedName>
    <definedName name="_xlnm.Print_Titles" localSheetId="8">Summary!$5:$5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0" l="1"/>
  <c r="D15" i="10"/>
  <c r="D14" i="10"/>
  <c r="D13" i="10"/>
  <c r="G12" i="10"/>
  <c r="D12" i="10"/>
  <c r="G11" i="10"/>
  <c r="D11" i="10"/>
  <c r="D10" i="10"/>
  <c r="G9" i="10"/>
  <c r="D9" i="10"/>
  <c r="G8" i="10"/>
  <c r="D8" i="10"/>
  <c r="D7" i="10"/>
  <c r="M6" i="10"/>
  <c r="J6" i="10"/>
  <c r="G6" i="10"/>
  <c r="D6" i="10"/>
  <c r="J5" i="10"/>
  <c r="G5" i="10"/>
  <c r="D5" i="10"/>
  <c r="B10" i="9"/>
  <c r="B9" i="9"/>
  <c r="C14" i="8"/>
  <c r="C13" i="8"/>
  <c r="C12" i="8"/>
  <c r="B12" i="8"/>
  <c r="H11" i="8"/>
  <c r="C11" i="8"/>
  <c r="B11" i="8"/>
  <c r="C10" i="8"/>
  <c r="B10" i="8"/>
  <c r="H9" i="8"/>
  <c r="C9" i="8"/>
  <c r="B9" i="8"/>
  <c r="C8" i="8"/>
  <c r="B8" i="8"/>
  <c r="H7" i="8"/>
  <c r="C7" i="8"/>
  <c r="B7" i="8"/>
  <c r="H6" i="8"/>
  <c r="C6" i="8"/>
  <c r="C16" i="7"/>
  <c r="C15" i="7"/>
  <c r="C14" i="7"/>
  <c r="C13" i="7"/>
  <c r="C12" i="7"/>
  <c r="C11" i="7"/>
  <c r="C10" i="7"/>
  <c r="C9" i="7"/>
  <c r="C8" i="7"/>
  <c r="C7" i="7"/>
  <c r="C6" i="7"/>
  <c r="C5" i="7"/>
  <c r="B15" i="6"/>
  <c r="D14" i="6"/>
  <c r="C14" i="6"/>
  <c r="B14" i="6"/>
  <c r="E14" i="6" s="1"/>
  <c r="D13" i="6"/>
  <c r="C13" i="6"/>
  <c r="B13" i="6"/>
  <c r="E13" i="6" s="1"/>
  <c r="C8" i="6"/>
  <c r="C7" i="6"/>
  <c r="B7" i="6"/>
  <c r="C6" i="6"/>
  <c r="B6" i="6"/>
  <c r="K12" i="5"/>
  <c r="G12" i="5"/>
  <c r="F12" i="5"/>
  <c r="E12" i="5"/>
  <c r="D12" i="5"/>
  <c r="C12" i="5"/>
  <c r="B12" i="5"/>
  <c r="K11" i="5"/>
  <c r="G11" i="5"/>
  <c r="F11" i="5"/>
  <c r="E11" i="5"/>
  <c r="D11" i="5"/>
  <c r="C11" i="5"/>
  <c r="B11" i="5"/>
  <c r="E10" i="5"/>
  <c r="D10" i="5"/>
  <c r="C10" i="5"/>
  <c r="B10" i="5"/>
  <c r="K9" i="5"/>
  <c r="G9" i="5"/>
  <c r="F9" i="5"/>
  <c r="E9" i="5"/>
  <c r="D9" i="5"/>
  <c r="C9" i="5"/>
  <c r="B9" i="5"/>
  <c r="K8" i="5"/>
  <c r="G8" i="5"/>
  <c r="F8" i="5"/>
  <c r="E8" i="5"/>
  <c r="D8" i="5"/>
  <c r="C8" i="5"/>
  <c r="B8" i="5"/>
  <c r="E7" i="5"/>
  <c r="D7" i="5"/>
  <c r="C7" i="5"/>
  <c r="B7" i="5"/>
  <c r="K6" i="5"/>
  <c r="G6" i="5"/>
  <c r="F6" i="5"/>
  <c r="E6" i="5"/>
  <c r="D6" i="5"/>
  <c r="C6" i="5"/>
  <c r="B6" i="5"/>
  <c r="K5" i="5"/>
  <c r="G5" i="5"/>
  <c r="F5" i="5"/>
  <c r="E5" i="5"/>
  <c r="D5" i="5"/>
  <c r="C5" i="5"/>
  <c r="B5" i="5"/>
  <c r="L292" i="4"/>
  <c r="K292" i="4"/>
  <c r="J292" i="4"/>
  <c r="L291" i="4"/>
  <c r="K291" i="4"/>
  <c r="M291" i="4" s="1"/>
  <c r="N291" i="4" s="1"/>
  <c r="J291" i="4"/>
  <c r="L290" i="4"/>
  <c r="K290" i="4"/>
  <c r="M290" i="4" s="1"/>
  <c r="N290" i="4" s="1"/>
  <c r="J290" i="4"/>
  <c r="L289" i="4"/>
  <c r="K289" i="4"/>
  <c r="M289" i="4" s="1"/>
  <c r="N289" i="4" s="1"/>
  <c r="J289" i="4"/>
  <c r="L288" i="4"/>
  <c r="K288" i="4"/>
  <c r="M288" i="4" s="1"/>
  <c r="N288" i="4" s="1"/>
  <c r="J288" i="4"/>
  <c r="L287" i="4"/>
  <c r="K287" i="4"/>
  <c r="M287" i="4" s="1"/>
  <c r="N287" i="4" s="1"/>
  <c r="J287" i="4"/>
  <c r="L286" i="4"/>
  <c r="K286" i="4"/>
  <c r="M286" i="4" s="1"/>
  <c r="N286" i="4" s="1"/>
  <c r="J286" i="4"/>
  <c r="L285" i="4"/>
  <c r="K285" i="4"/>
  <c r="M285" i="4" s="1"/>
  <c r="N285" i="4" s="1"/>
  <c r="J285" i="4"/>
  <c r="L284" i="4"/>
  <c r="K284" i="4"/>
  <c r="M284" i="4" s="1"/>
  <c r="N284" i="4" s="1"/>
  <c r="J284" i="4"/>
  <c r="L283" i="4"/>
  <c r="D7" i="7" s="1"/>
  <c r="K283" i="4"/>
  <c r="J283" i="4"/>
  <c r="L282" i="4"/>
  <c r="D6" i="7" s="1"/>
  <c r="K282" i="4"/>
  <c r="J282" i="4"/>
  <c r="L281" i="4"/>
  <c r="K281" i="4"/>
  <c r="J281" i="4"/>
  <c r="L280" i="4"/>
  <c r="D16" i="7" s="1"/>
  <c r="K280" i="4"/>
  <c r="J280" i="4"/>
  <c r="L279" i="4"/>
  <c r="D15" i="7" s="1"/>
  <c r="K279" i="4"/>
  <c r="J279" i="4"/>
  <c r="L278" i="4"/>
  <c r="D14" i="7" s="1"/>
  <c r="K278" i="4"/>
  <c r="J278" i="4"/>
  <c r="L277" i="4"/>
  <c r="D13" i="7" s="1"/>
  <c r="K277" i="4"/>
  <c r="J277" i="4"/>
  <c r="L276" i="4"/>
  <c r="D12" i="7" s="1"/>
  <c r="K276" i="4"/>
  <c r="J276" i="4"/>
  <c r="L275" i="4"/>
  <c r="D11" i="7" s="1"/>
  <c r="K275" i="4"/>
  <c r="J275" i="4"/>
  <c r="L274" i="4"/>
  <c r="D10" i="7" s="1"/>
  <c r="K274" i="4"/>
  <c r="J274" i="4"/>
  <c r="L273" i="4"/>
  <c r="D9" i="7" s="1"/>
  <c r="K273" i="4"/>
  <c r="J273" i="4"/>
  <c r="L272" i="4"/>
  <c r="K272" i="4"/>
  <c r="J272" i="4"/>
  <c r="M271" i="4"/>
  <c r="N271" i="4" s="1"/>
  <c r="L271" i="4"/>
  <c r="K271" i="4"/>
  <c r="J271" i="4"/>
  <c r="L270" i="4"/>
  <c r="K270" i="4"/>
  <c r="M270" i="4" s="1"/>
  <c r="N270" i="4" s="1"/>
  <c r="J270" i="4"/>
  <c r="L269" i="4"/>
  <c r="K269" i="4"/>
  <c r="M269" i="4" s="1"/>
  <c r="N269" i="4" s="1"/>
  <c r="J269" i="4"/>
  <c r="L268" i="4"/>
  <c r="K268" i="4"/>
  <c r="M268" i="4" s="1"/>
  <c r="N268" i="4" s="1"/>
  <c r="J268" i="4"/>
  <c r="L267" i="4"/>
  <c r="K267" i="4"/>
  <c r="M267" i="4" s="1"/>
  <c r="N267" i="4" s="1"/>
  <c r="J267" i="4"/>
  <c r="L266" i="4"/>
  <c r="K266" i="4"/>
  <c r="M266" i="4" s="1"/>
  <c r="N266" i="4" s="1"/>
  <c r="J266" i="4"/>
  <c r="L265" i="4"/>
  <c r="K265" i="4"/>
  <c r="M265" i="4" s="1"/>
  <c r="N265" i="4" s="1"/>
  <c r="J265" i="4"/>
  <c r="L264" i="4"/>
  <c r="K264" i="4"/>
  <c r="M264" i="4" s="1"/>
  <c r="N264" i="4" s="1"/>
  <c r="J264" i="4"/>
  <c r="L263" i="4"/>
  <c r="K263" i="4"/>
  <c r="M263" i="4" s="1"/>
  <c r="N263" i="4" s="1"/>
  <c r="J263" i="4"/>
  <c r="L262" i="4"/>
  <c r="K262" i="4"/>
  <c r="M262" i="4" s="1"/>
  <c r="N262" i="4" s="1"/>
  <c r="J262" i="4"/>
  <c r="L261" i="4"/>
  <c r="K261" i="4"/>
  <c r="M261" i="4" s="1"/>
  <c r="N261" i="4" s="1"/>
  <c r="J261" i="4"/>
  <c r="L260" i="4"/>
  <c r="K260" i="4"/>
  <c r="M260" i="4" s="1"/>
  <c r="N260" i="4" s="1"/>
  <c r="J260" i="4"/>
  <c r="L259" i="4"/>
  <c r="K259" i="4"/>
  <c r="M259" i="4" s="1"/>
  <c r="N259" i="4" s="1"/>
  <c r="J259" i="4"/>
  <c r="L258" i="4"/>
  <c r="K258" i="4"/>
  <c r="M258" i="4" s="1"/>
  <c r="N258" i="4" s="1"/>
  <c r="J258" i="4"/>
  <c r="L257" i="4"/>
  <c r="K257" i="4"/>
  <c r="M257" i="4" s="1"/>
  <c r="N257" i="4" s="1"/>
  <c r="J257" i="4"/>
  <c r="L256" i="4"/>
  <c r="K256" i="4"/>
  <c r="M256" i="4" s="1"/>
  <c r="N256" i="4" s="1"/>
  <c r="J256" i="4"/>
  <c r="L255" i="4"/>
  <c r="K255" i="4"/>
  <c r="M255" i="4" s="1"/>
  <c r="N255" i="4" s="1"/>
  <c r="J255" i="4"/>
  <c r="L254" i="4"/>
  <c r="K254" i="4"/>
  <c r="M254" i="4" s="1"/>
  <c r="N254" i="4" s="1"/>
  <c r="J254" i="4"/>
  <c r="L253" i="4"/>
  <c r="K253" i="4"/>
  <c r="M253" i="4" s="1"/>
  <c r="N253" i="4" s="1"/>
  <c r="J253" i="4"/>
  <c r="L252" i="4"/>
  <c r="K252" i="4"/>
  <c r="M252" i="4" s="1"/>
  <c r="N252" i="4" s="1"/>
  <c r="J252" i="4"/>
  <c r="L251" i="4"/>
  <c r="K251" i="4"/>
  <c r="M251" i="4" s="1"/>
  <c r="N251" i="4" s="1"/>
  <c r="J251" i="4"/>
  <c r="L250" i="4"/>
  <c r="K250" i="4"/>
  <c r="M250" i="4" s="1"/>
  <c r="N250" i="4" s="1"/>
  <c r="J250" i="4"/>
  <c r="L249" i="4"/>
  <c r="K249" i="4"/>
  <c r="M249" i="4" s="1"/>
  <c r="N249" i="4" s="1"/>
  <c r="J249" i="4"/>
  <c r="L248" i="4"/>
  <c r="K248" i="4"/>
  <c r="M248" i="4" s="1"/>
  <c r="N248" i="4" s="1"/>
  <c r="J248" i="4"/>
  <c r="L247" i="4"/>
  <c r="K247" i="4"/>
  <c r="M247" i="4" s="1"/>
  <c r="N247" i="4" s="1"/>
  <c r="J247" i="4"/>
  <c r="L246" i="4"/>
  <c r="K246" i="4"/>
  <c r="M246" i="4" s="1"/>
  <c r="N246" i="4" s="1"/>
  <c r="J246" i="4"/>
  <c r="L245" i="4"/>
  <c r="K245" i="4"/>
  <c r="M245" i="4" s="1"/>
  <c r="N245" i="4" s="1"/>
  <c r="J245" i="4"/>
  <c r="L244" i="4"/>
  <c r="K244" i="4"/>
  <c r="M244" i="4" s="1"/>
  <c r="N244" i="4" s="1"/>
  <c r="J244" i="4"/>
  <c r="L243" i="4"/>
  <c r="K243" i="4"/>
  <c r="M243" i="4" s="1"/>
  <c r="N243" i="4" s="1"/>
  <c r="J243" i="4"/>
  <c r="L242" i="4"/>
  <c r="K242" i="4"/>
  <c r="M242" i="4" s="1"/>
  <c r="N242" i="4" s="1"/>
  <c r="J242" i="4"/>
  <c r="L241" i="4"/>
  <c r="K241" i="4"/>
  <c r="M241" i="4" s="1"/>
  <c r="N241" i="4" s="1"/>
  <c r="J241" i="4"/>
  <c r="L240" i="4"/>
  <c r="K240" i="4"/>
  <c r="M240" i="4" s="1"/>
  <c r="N240" i="4" s="1"/>
  <c r="J240" i="4"/>
  <c r="L239" i="4"/>
  <c r="K239" i="4"/>
  <c r="M239" i="4" s="1"/>
  <c r="N239" i="4" s="1"/>
  <c r="J239" i="4"/>
  <c r="L238" i="4"/>
  <c r="K238" i="4"/>
  <c r="M238" i="4" s="1"/>
  <c r="N238" i="4" s="1"/>
  <c r="J238" i="4"/>
  <c r="L237" i="4"/>
  <c r="K237" i="4"/>
  <c r="M237" i="4" s="1"/>
  <c r="N237" i="4" s="1"/>
  <c r="J237" i="4"/>
  <c r="L236" i="4"/>
  <c r="K236" i="4"/>
  <c r="M236" i="4" s="1"/>
  <c r="N236" i="4" s="1"/>
  <c r="J236" i="4"/>
  <c r="L235" i="4"/>
  <c r="K235" i="4"/>
  <c r="M235" i="4" s="1"/>
  <c r="N235" i="4" s="1"/>
  <c r="J235" i="4"/>
  <c r="L234" i="4"/>
  <c r="K234" i="4"/>
  <c r="M234" i="4" s="1"/>
  <c r="N234" i="4" s="1"/>
  <c r="J234" i="4"/>
  <c r="L233" i="4"/>
  <c r="K233" i="4"/>
  <c r="M233" i="4" s="1"/>
  <c r="N233" i="4" s="1"/>
  <c r="J233" i="4"/>
  <c r="L232" i="4"/>
  <c r="K232" i="4"/>
  <c r="M232" i="4" s="1"/>
  <c r="N232" i="4" s="1"/>
  <c r="J232" i="4"/>
  <c r="L231" i="4"/>
  <c r="K231" i="4"/>
  <c r="M231" i="4" s="1"/>
  <c r="N231" i="4" s="1"/>
  <c r="J231" i="4"/>
  <c r="L230" i="4"/>
  <c r="K230" i="4"/>
  <c r="M230" i="4" s="1"/>
  <c r="N230" i="4" s="1"/>
  <c r="J230" i="4"/>
  <c r="L229" i="4"/>
  <c r="K229" i="4"/>
  <c r="M229" i="4" s="1"/>
  <c r="N229" i="4" s="1"/>
  <c r="J229" i="4"/>
  <c r="L228" i="4"/>
  <c r="K228" i="4"/>
  <c r="M228" i="4" s="1"/>
  <c r="N228" i="4" s="1"/>
  <c r="J228" i="4"/>
  <c r="L227" i="4"/>
  <c r="K227" i="4"/>
  <c r="M227" i="4" s="1"/>
  <c r="N227" i="4" s="1"/>
  <c r="J227" i="4"/>
  <c r="L226" i="4"/>
  <c r="K226" i="4"/>
  <c r="M226" i="4" s="1"/>
  <c r="N226" i="4" s="1"/>
  <c r="J226" i="4"/>
  <c r="L225" i="4"/>
  <c r="K225" i="4"/>
  <c r="M225" i="4" s="1"/>
  <c r="N225" i="4" s="1"/>
  <c r="J225" i="4"/>
  <c r="L224" i="4"/>
  <c r="K224" i="4"/>
  <c r="M224" i="4" s="1"/>
  <c r="N224" i="4" s="1"/>
  <c r="J224" i="4"/>
  <c r="L223" i="4"/>
  <c r="K223" i="4"/>
  <c r="M223" i="4" s="1"/>
  <c r="N223" i="4" s="1"/>
  <c r="J223" i="4"/>
  <c r="L222" i="4"/>
  <c r="K222" i="4"/>
  <c r="M222" i="4" s="1"/>
  <c r="N222" i="4" s="1"/>
  <c r="J222" i="4"/>
  <c r="L221" i="4"/>
  <c r="K221" i="4"/>
  <c r="M221" i="4" s="1"/>
  <c r="N221" i="4" s="1"/>
  <c r="J221" i="4"/>
  <c r="L220" i="4"/>
  <c r="K220" i="4"/>
  <c r="M220" i="4" s="1"/>
  <c r="N220" i="4" s="1"/>
  <c r="J220" i="4"/>
  <c r="L219" i="4"/>
  <c r="K219" i="4"/>
  <c r="M219" i="4" s="1"/>
  <c r="N219" i="4" s="1"/>
  <c r="J219" i="4"/>
  <c r="L218" i="4"/>
  <c r="K218" i="4"/>
  <c r="M218" i="4" s="1"/>
  <c r="N218" i="4" s="1"/>
  <c r="J218" i="4"/>
  <c r="L217" i="4"/>
  <c r="K217" i="4"/>
  <c r="M217" i="4" s="1"/>
  <c r="N217" i="4" s="1"/>
  <c r="J217" i="4"/>
  <c r="L216" i="4"/>
  <c r="K216" i="4"/>
  <c r="M216" i="4" s="1"/>
  <c r="N216" i="4" s="1"/>
  <c r="J216" i="4"/>
  <c r="L215" i="4"/>
  <c r="K215" i="4"/>
  <c r="M215" i="4" s="1"/>
  <c r="N215" i="4" s="1"/>
  <c r="J215" i="4"/>
  <c r="L214" i="4"/>
  <c r="K214" i="4"/>
  <c r="M214" i="4" s="1"/>
  <c r="N214" i="4" s="1"/>
  <c r="J214" i="4"/>
  <c r="L213" i="4"/>
  <c r="K213" i="4"/>
  <c r="M213" i="4" s="1"/>
  <c r="N213" i="4" s="1"/>
  <c r="J213" i="4"/>
  <c r="L212" i="4"/>
  <c r="K212" i="4"/>
  <c r="M212" i="4" s="1"/>
  <c r="N212" i="4" s="1"/>
  <c r="J212" i="4"/>
  <c r="L211" i="4"/>
  <c r="K211" i="4"/>
  <c r="M211" i="4" s="1"/>
  <c r="N211" i="4" s="1"/>
  <c r="J211" i="4"/>
  <c r="L210" i="4"/>
  <c r="K210" i="4"/>
  <c r="M210" i="4" s="1"/>
  <c r="N210" i="4" s="1"/>
  <c r="J210" i="4"/>
  <c r="L209" i="4"/>
  <c r="K209" i="4"/>
  <c r="M209" i="4" s="1"/>
  <c r="N209" i="4" s="1"/>
  <c r="J209" i="4"/>
  <c r="L208" i="4"/>
  <c r="K208" i="4"/>
  <c r="M208" i="4" s="1"/>
  <c r="N208" i="4" s="1"/>
  <c r="J208" i="4"/>
  <c r="L207" i="4"/>
  <c r="K207" i="4"/>
  <c r="M207" i="4" s="1"/>
  <c r="N207" i="4" s="1"/>
  <c r="J207" i="4"/>
  <c r="L206" i="4"/>
  <c r="K206" i="4"/>
  <c r="M206" i="4" s="1"/>
  <c r="N206" i="4" s="1"/>
  <c r="J206" i="4"/>
  <c r="L205" i="4"/>
  <c r="K205" i="4"/>
  <c r="M205" i="4" s="1"/>
  <c r="N205" i="4" s="1"/>
  <c r="J205" i="4"/>
  <c r="L204" i="4"/>
  <c r="K204" i="4"/>
  <c r="M204" i="4" s="1"/>
  <c r="N204" i="4" s="1"/>
  <c r="J204" i="4"/>
  <c r="L203" i="4"/>
  <c r="K203" i="4"/>
  <c r="M203" i="4" s="1"/>
  <c r="N203" i="4" s="1"/>
  <c r="J203" i="4"/>
  <c r="L202" i="4"/>
  <c r="K202" i="4"/>
  <c r="M202" i="4" s="1"/>
  <c r="N202" i="4" s="1"/>
  <c r="J202" i="4"/>
  <c r="L201" i="4"/>
  <c r="K201" i="4"/>
  <c r="M201" i="4" s="1"/>
  <c r="N201" i="4" s="1"/>
  <c r="J201" i="4"/>
  <c r="L200" i="4"/>
  <c r="K200" i="4"/>
  <c r="M200" i="4" s="1"/>
  <c r="N200" i="4" s="1"/>
  <c r="J200" i="4"/>
  <c r="L199" i="4"/>
  <c r="K199" i="4"/>
  <c r="M199" i="4" s="1"/>
  <c r="N199" i="4" s="1"/>
  <c r="J199" i="4"/>
  <c r="L198" i="4"/>
  <c r="K198" i="4"/>
  <c r="M198" i="4" s="1"/>
  <c r="N198" i="4" s="1"/>
  <c r="J198" i="4"/>
  <c r="L197" i="4"/>
  <c r="K197" i="4"/>
  <c r="M197" i="4" s="1"/>
  <c r="J197" i="4"/>
  <c r="L196" i="4"/>
  <c r="K196" i="4"/>
  <c r="M196" i="4" s="1"/>
  <c r="N196" i="4" s="1"/>
  <c r="J196" i="4"/>
  <c r="L195" i="4"/>
  <c r="K195" i="4"/>
  <c r="M195" i="4" s="1"/>
  <c r="N195" i="4" s="1"/>
  <c r="J195" i="4"/>
  <c r="L194" i="4"/>
  <c r="K194" i="4"/>
  <c r="M194" i="4" s="1"/>
  <c r="N194" i="4" s="1"/>
  <c r="J194" i="4"/>
  <c r="L193" i="4"/>
  <c r="K193" i="4"/>
  <c r="M193" i="4" s="1"/>
  <c r="N193" i="4" s="1"/>
  <c r="J193" i="4"/>
  <c r="L192" i="4"/>
  <c r="K192" i="4"/>
  <c r="M192" i="4" s="1"/>
  <c r="N192" i="4" s="1"/>
  <c r="J192" i="4"/>
  <c r="L191" i="4"/>
  <c r="K191" i="4"/>
  <c r="M191" i="4" s="1"/>
  <c r="N191" i="4" s="1"/>
  <c r="J191" i="4"/>
  <c r="L190" i="4"/>
  <c r="K190" i="4"/>
  <c r="M190" i="4" s="1"/>
  <c r="N190" i="4" s="1"/>
  <c r="J190" i="4"/>
  <c r="L189" i="4"/>
  <c r="K189" i="4"/>
  <c r="M189" i="4" s="1"/>
  <c r="N189" i="4" s="1"/>
  <c r="J189" i="4"/>
  <c r="M188" i="4"/>
  <c r="N188" i="4" s="1"/>
  <c r="L188" i="4"/>
  <c r="K188" i="4"/>
  <c r="J188" i="4"/>
  <c r="L187" i="4"/>
  <c r="K187" i="4"/>
  <c r="M187" i="4" s="1"/>
  <c r="N187" i="4" s="1"/>
  <c r="J187" i="4"/>
  <c r="L186" i="4"/>
  <c r="K186" i="4"/>
  <c r="M186" i="4" s="1"/>
  <c r="N186" i="4" s="1"/>
  <c r="J186" i="4"/>
  <c r="L185" i="4"/>
  <c r="K185" i="4"/>
  <c r="M185" i="4" s="1"/>
  <c r="N185" i="4" s="1"/>
  <c r="J185" i="4"/>
  <c r="L184" i="4"/>
  <c r="K184" i="4"/>
  <c r="M184" i="4" s="1"/>
  <c r="N184" i="4" s="1"/>
  <c r="J184" i="4"/>
  <c r="L183" i="4"/>
  <c r="K183" i="4"/>
  <c r="M183" i="4" s="1"/>
  <c r="N183" i="4" s="1"/>
  <c r="J183" i="4"/>
  <c r="L182" i="4"/>
  <c r="K182" i="4"/>
  <c r="M182" i="4" s="1"/>
  <c r="N182" i="4" s="1"/>
  <c r="J182" i="4"/>
  <c r="L181" i="4"/>
  <c r="K181" i="4"/>
  <c r="M181" i="4" s="1"/>
  <c r="N181" i="4" s="1"/>
  <c r="J181" i="4"/>
  <c r="L180" i="4"/>
  <c r="K180" i="4"/>
  <c r="M180" i="4" s="1"/>
  <c r="N180" i="4" s="1"/>
  <c r="J180" i="4"/>
  <c r="M179" i="4"/>
  <c r="N179" i="4" s="1"/>
  <c r="L179" i="4"/>
  <c r="K179" i="4"/>
  <c r="J179" i="4"/>
  <c r="L178" i="4"/>
  <c r="K178" i="4"/>
  <c r="M178" i="4" s="1"/>
  <c r="N178" i="4" s="1"/>
  <c r="J178" i="4"/>
  <c r="L177" i="4"/>
  <c r="K177" i="4"/>
  <c r="M177" i="4" s="1"/>
  <c r="N177" i="4" s="1"/>
  <c r="J177" i="4"/>
  <c r="L176" i="4"/>
  <c r="K176" i="4"/>
  <c r="M176" i="4" s="1"/>
  <c r="N176" i="4" s="1"/>
  <c r="J176" i="4"/>
  <c r="L175" i="4"/>
  <c r="K175" i="4"/>
  <c r="M175" i="4" s="1"/>
  <c r="N175" i="4" s="1"/>
  <c r="J175" i="4"/>
  <c r="L174" i="4"/>
  <c r="K174" i="4"/>
  <c r="M174" i="4" s="1"/>
  <c r="N174" i="4" s="1"/>
  <c r="J174" i="4"/>
  <c r="L173" i="4"/>
  <c r="K173" i="4"/>
  <c r="M173" i="4" s="1"/>
  <c r="N173" i="4" s="1"/>
  <c r="J173" i="4"/>
  <c r="L172" i="4"/>
  <c r="K172" i="4"/>
  <c r="M172" i="4" s="1"/>
  <c r="N172" i="4" s="1"/>
  <c r="J172" i="4"/>
  <c r="L171" i="4"/>
  <c r="K171" i="4"/>
  <c r="M171" i="4" s="1"/>
  <c r="N171" i="4" s="1"/>
  <c r="J171" i="4"/>
  <c r="L170" i="4"/>
  <c r="K170" i="4"/>
  <c r="M170" i="4" s="1"/>
  <c r="N170" i="4" s="1"/>
  <c r="J170" i="4"/>
  <c r="L169" i="4"/>
  <c r="K169" i="4"/>
  <c r="M169" i="4" s="1"/>
  <c r="N169" i="4" s="1"/>
  <c r="J169" i="4"/>
  <c r="L168" i="4"/>
  <c r="K168" i="4"/>
  <c r="M168" i="4" s="1"/>
  <c r="N168" i="4" s="1"/>
  <c r="J168" i="4"/>
  <c r="L167" i="4"/>
  <c r="K167" i="4"/>
  <c r="M167" i="4" s="1"/>
  <c r="N167" i="4" s="1"/>
  <c r="J167" i="4"/>
  <c r="L166" i="4"/>
  <c r="K166" i="4"/>
  <c r="M166" i="4" s="1"/>
  <c r="N166" i="4" s="1"/>
  <c r="J166" i="4"/>
  <c r="L165" i="4"/>
  <c r="K165" i="4"/>
  <c r="M165" i="4" s="1"/>
  <c r="N165" i="4" s="1"/>
  <c r="J165" i="4"/>
  <c r="L164" i="4"/>
  <c r="K164" i="4"/>
  <c r="M164" i="4" s="1"/>
  <c r="N164" i="4" s="1"/>
  <c r="J164" i="4"/>
  <c r="L163" i="4"/>
  <c r="K163" i="4"/>
  <c r="M163" i="4" s="1"/>
  <c r="N163" i="4" s="1"/>
  <c r="J163" i="4"/>
  <c r="L162" i="4"/>
  <c r="K162" i="4"/>
  <c r="M162" i="4" s="1"/>
  <c r="N162" i="4" s="1"/>
  <c r="J162" i="4"/>
  <c r="L161" i="4"/>
  <c r="K161" i="4"/>
  <c r="M161" i="4" s="1"/>
  <c r="N161" i="4" s="1"/>
  <c r="J161" i="4"/>
  <c r="L160" i="4"/>
  <c r="K160" i="4"/>
  <c r="M160" i="4" s="1"/>
  <c r="N160" i="4" s="1"/>
  <c r="J160" i="4"/>
  <c r="L159" i="4"/>
  <c r="K159" i="4"/>
  <c r="M159" i="4" s="1"/>
  <c r="N159" i="4" s="1"/>
  <c r="J159" i="4"/>
  <c r="L158" i="4"/>
  <c r="K158" i="4"/>
  <c r="M158" i="4" s="1"/>
  <c r="N158" i="4" s="1"/>
  <c r="J158" i="4"/>
  <c r="L157" i="4"/>
  <c r="K157" i="4"/>
  <c r="M157" i="4" s="1"/>
  <c r="N157" i="4" s="1"/>
  <c r="J157" i="4"/>
  <c r="L156" i="4"/>
  <c r="K156" i="4"/>
  <c r="M156" i="4" s="1"/>
  <c r="N156" i="4" s="1"/>
  <c r="J156" i="4"/>
  <c r="L155" i="4"/>
  <c r="K155" i="4"/>
  <c r="M155" i="4" s="1"/>
  <c r="N155" i="4" s="1"/>
  <c r="J155" i="4"/>
  <c r="L154" i="4"/>
  <c r="K154" i="4"/>
  <c r="M154" i="4" s="1"/>
  <c r="N154" i="4" s="1"/>
  <c r="J154" i="4"/>
  <c r="L153" i="4"/>
  <c r="K153" i="4"/>
  <c r="M153" i="4" s="1"/>
  <c r="N153" i="4" s="1"/>
  <c r="J153" i="4"/>
  <c r="L152" i="4"/>
  <c r="K152" i="4"/>
  <c r="M152" i="4" s="1"/>
  <c r="N152" i="4" s="1"/>
  <c r="J152" i="4"/>
  <c r="L151" i="4"/>
  <c r="K151" i="4"/>
  <c r="M151" i="4" s="1"/>
  <c r="N151" i="4" s="1"/>
  <c r="J151" i="4"/>
  <c r="L150" i="4"/>
  <c r="K150" i="4"/>
  <c r="M150" i="4" s="1"/>
  <c r="N150" i="4" s="1"/>
  <c r="J150" i="4"/>
  <c r="L149" i="4"/>
  <c r="K149" i="4"/>
  <c r="M149" i="4" s="1"/>
  <c r="N149" i="4" s="1"/>
  <c r="J149" i="4"/>
  <c r="L148" i="4"/>
  <c r="K148" i="4"/>
  <c r="M148" i="4" s="1"/>
  <c r="N148" i="4" s="1"/>
  <c r="J148" i="4"/>
  <c r="L147" i="4"/>
  <c r="K147" i="4"/>
  <c r="M147" i="4" s="1"/>
  <c r="N147" i="4" s="1"/>
  <c r="J147" i="4"/>
  <c r="L146" i="4"/>
  <c r="K146" i="4"/>
  <c r="M146" i="4" s="1"/>
  <c r="N146" i="4" s="1"/>
  <c r="J146" i="4"/>
  <c r="L145" i="4"/>
  <c r="K145" i="4"/>
  <c r="M145" i="4" s="1"/>
  <c r="N145" i="4" s="1"/>
  <c r="J145" i="4"/>
  <c r="L144" i="4"/>
  <c r="K144" i="4"/>
  <c r="M144" i="4" s="1"/>
  <c r="N144" i="4" s="1"/>
  <c r="J144" i="4"/>
  <c r="L143" i="4"/>
  <c r="K143" i="4"/>
  <c r="M143" i="4" s="1"/>
  <c r="N143" i="4" s="1"/>
  <c r="J143" i="4"/>
  <c r="L142" i="4"/>
  <c r="K142" i="4"/>
  <c r="M142" i="4" s="1"/>
  <c r="N142" i="4" s="1"/>
  <c r="J142" i="4"/>
  <c r="L141" i="4"/>
  <c r="K141" i="4"/>
  <c r="M141" i="4" s="1"/>
  <c r="N141" i="4" s="1"/>
  <c r="J141" i="4"/>
  <c r="L140" i="4"/>
  <c r="K140" i="4"/>
  <c r="M140" i="4" s="1"/>
  <c r="N140" i="4" s="1"/>
  <c r="J140" i="4"/>
  <c r="L139" i="4"/>
  <c r="K139" i="4"/>
  <c r="M139" i="4" s="1"/>
  <c r="N139" i="4" s="1"/>
  <c r="J139" i="4"/>
  <c r="L138" i="4"/>
  <c r="K138" i="4"/>
  <c r="M138" i="4" s="1"/>
  <c r="N138" i="4" s="1"/>
  <c r="J138" i="4"/>
  <c r="L137" i="4"/>
  <c r="K137" i="4"/>
  <c r="M137" i="4" s="1"/>
  <c r="N137" i="4" s="1"/>
  <c r="J137" i="4"/>
  <c r="L136" i="4"/>
  <c r="K136" i="4"/>
  <c r="M136" i="4" s="1"/>
  <c r="N136" i="4" s="1"/>
  <c r="J136" i="4"/>
  <c r="L135" i="4"/>
  <c r="K135" i="4"/>
  <c r="M135" i="4" s="1"/>
  <c r="N135" i="4" s="1"/>
  <c r="J135" i="4"/>
  <c r="L134" i="4"/>
  <c r="K134" i="4"/>
  <c r="M134" i="4" s="1"/>
  <c r="N134" i="4" s="1"/>
  <c r="J134" i="4"/>
  <c r="L133" i="4"/>
  <c r="K133" i="4"/>
  <c r="M133" i="4" s="1"/>
  <c r="N133" i="4" s="1"/>
  <c r="J133" i="4"/>
  <c r="L132" i="4"/>
  <c r="K132" i="4"/>
  <c r="M132" i="4" s="1"/>
  <c r="N132" i="4" s="1"/>
  <c r="J132" i="4"/>
  <c r="L131" i="4"/>
  <c r="K131" i="4"/>
  <c r="M131" i="4" s="1"/>
  <c r="N131" i="4" s="1"/>
  <c r="J131" i="4"/>
  <c r="L130" i="4"/>
  <c r="K130" i="4"/>
  <c r="M130" i="4" s="1"/>
  <c r="N130" i="4" s="1"/>
  <c r="J130" i="4"/>
  <c r="L129" i="4"/>
  <c r="K129" i="4"/>
  <c r="M129" i="4" s="1"/>
  <c r="N129" i="4" s="1"/>
  <c r="J129" i="4"/>
  <c r="L128" i="4"/>
  <c r="K128" i="4"/>
  <c r="M128" i="4" s="1"/>
  <c r="N128" i="4" s="1"/>
  <c r="J128" i="4"/>
  <c r="L127" i="4"/>
  <c r="K127" i="4"/>
  <c r="M127" i="4" s="1"/>
  <c r="N127" i="4" s="1"/>
  <c r="J127" i="4"/>
  <c r="L126" i="4"/>
  <c r="K126" i="4"/>
  <c r="M126" i="4" s="1"/>
  <c r="N126" i="4" s="1"/>
  <c r="J126" i="4"/>
  <c r="L125" i="4"/>
  <c r="K125" i="4"/>
  <c r="M125" i="4" s="1"/>
  <c r="N125" i="4" s="1"/>
  <c r="J125" i="4"/>
  <c r="L124" i="4"/>
  <c r="K124" i="4"/>
  <c r="M124" i="4" s="1"/>
  <c r="N124" i="4" s="1"/>
  <c r="J124" i="4"/>
  <c r="L123" i="4"/>
  <c r="K123" i="4"/>
  <c r="M123" i="4" s="1"/>
  <c r="N123" i="4" s="1"/>
  <c r="J123" i="4"/>
  <c r="L122" i="4"/>
  <c r="K122" i="4"/>
  <c r="M122" i="4" s="1"/>
  <c r="N122" i="4" s="1"/>
  <c r="J122" i="4"/>
  <c r="L121" i="4"/>
  <c r="K121" i="4"/>
  <c r="M121" i="4" s="1"/>
  <c r="N121" i="4" s="1"/>
  <c r="J121" i="4"/>
  <c r="L120" i="4"/>
  <c r="K120" i="4"/>
  <c r="M120" i="4" s="1"/>
  <c r="N120" i="4" s="1"/>
  <c r="J120" i="4"/>
  <c r="L119" i="4"/>
  <c r="K119" i="4"/>
  <c r="M119" i="4" s="1"/>
  <c r="N119" i="4" s="1"/>
  <c r="J119" i="4"/>
  <c r="L118" i="4"/>
  <c r="K118" i="4"/>
  <c r="M118" i="4" s="1"/>
  <c r="N118" i="4" s="1"/>
  <c r="J118" i="4"/>
  <c r="L117" i="4"/>
  <c r="K117" i="4"/>
  <c r="M117" i="4" s="1"/>
  <c r="N117" i="4" s="1"/>
  <c r="J117" i="4"/>
  <c r="L116" i="4"/>
  <c r="K116" i="4"/>
  <c r="M116" i="4" s="1"/>
  <c r="N116" i="4" s="1"/>
  <c r="J116" i="4"/>
  <c r="L115" i="4"/>
  <c r="K115" i="4"/>
  <c r="M115" i="4" s="1"/>
  <c r="N115" i="4" s="1"/>
  <c r="J115" i="4"/>
  <c r="L114" i="4"/>
  <c r="K114" i="4"/>
  <c r="M114" i="4" s="1"/>
  <c r="N114" i="4" s="1"/>
  <c r="J114" i="4"/>
  <c r="L113" i="4"/>
  <c r="K113" i="4"/>
  <c r="M113" i="4" s="1"/>
  <c r="N113" i="4" s="1"/>
  <c r="J113" i="4"/>
  <c r="L112" i="4"/>
  <c r="K112" i="4"/>
  <c r="M112" i="4" s="1"/>
  <c r="N112" i="4" s="1"/>
  <c r="J112" i="4"/>
  <c r="L111" i="4"/>
  <c r="K111" i="4"/>
  <c r="M111" i="4" s="1"/>
  <c r="N111" i="4" s="1"/>
  <c r="J111" i="4"/>
  <c r="L110" i="4"/>
  <c r="K110" i="4"/>
  <c r="M110" i="4" s="1"/>
  <c r="N110" i="4" s="1"/>
  <c r="J110" i="4"/>
  <c r="L109" i="4"/>
  <c r="K109" i="4"/>
  <c r="M109" i="4" s="1"/>
  <c r="N109" i="4" s="1"/>
  <c r="J109" i="4"/>
  <c r="L108" i="4"/>
  <c r="K108" i="4"/>
  <c r="M108" i="4" s="1"/>
  <c r="N108" i="4" s="1"/>
  <c r="J108" i="4"/>
  <c r="L107" i="4"/>
  <c r="K107" i="4"/>
  <c r="M107" i="4" s="1"/>
  <c r="N107" i="4" s="1"/>
  <c r="J107" i="4"/>
  <c r="L106" i="4"/>
  <c r="K106" i="4"/>
  <c r="M106" i="4" s="1"/>
  <c r="N106" i="4" s="1"/>
  <c r="J106" i="4"/>
  <c r="L105" i="4"/>
  <c r="K105" i="4"/>
  <c r="M105" i="4" s="1"/>
  <c r="N105" i="4" s="1"/>
  <c r="J105" i="4"/>
  <c r="L104" i="4"/>
  <c r="K104" i="4"/>
  <c r="M104" i="4" s="1"/>
  <c r="N104" i="4" s="1"/>
  <c r="J104" i="4"/>
  <c r="L103" i="4"/>
  <c r="K103" i="4"/>
  <c r="M103" i="4" s="1"/>
  <c r="N103" i="4" s="1"/>
  <c r="J103" i="4"/>
  <c r="L102" i="4"/>
  <c r="K102" i="4"/>
  <c r="M102" i="4" s="1"/>
  <c r="N102" i="4" s="1"/>
  <c r="J102" i="4"/>
  <c r="L101" i="4"/>
  <c r="K101" i="4"/>
  <c r="M101" i="4" s="1"/>
  <c r="J101" i="4"/>
  <c r="L100" i="4"/>
  <c r="K100" i="4"/>
  <c r="M100" i="4" s="1"/>
  <c r="N100" i="4" s="1"/>
  <c r="J100" i="4"/>
  <c r="L99" i="4"/>
  <c r="K99" i="4"/>
  <c r="M99" i="4" s="1"/>
  <c r="N99" i="4" s="1"/>
  <c r="J99" i="4"/>
  <c r="L98" i="4"/>
  <c r="K98" i="4"/>
  <c r="M98" i="4" s="1"/>
  <c r="N98" i="4" s="1"/>
  <c r="J98" i="4"/>
  <c r="L97" i="4"/>
  <c r="K97" i="4"/>
  <c r="M97" i="4" s="1"/>
  <c r="N97" i="4" s="1"/>
  <c r="J97" i="4"/>
  <c r="L96" i="4"/>
  <c r="K96" i="4"/>
  <c r="M96" i="4" s="1"/>
  <c r="N96" i="4" s="1"/>
  <c r="J96" i="4"/>
  <c r="L95" i="4"/>
  <c r="K95" i="4"/>
  <c r="M95" i="4" s="1"/>
  <c r="N95" i="4" s="1"/>
  <c r="J95" i="4"/>
  <c r="L94" i="4"/>
  <c r="K94" i="4"/>
  <c r="M94" i="4" s="1"/>
  <c r="N94" i="4" s="1"/>
  <c r="J94" i="4"/>
  <c r="L93" i="4"/>
  <c r="K93" i="4"/>
  <c r="M93" i="4" s="1"/>
  <c r="N93" i="4" s="1"/>
  <c r="J93" i="4"/>
  <c r="L92" i="4"/>
  <c r="K92" i="4"/>
  <c r="M92" i="4" s="1"/>
  <c r="N92" i="4" s="1"/>
  <c r="J92" i="4"/>
  <c r="L91" i="4"/>
  <c r="K91" i="4"/>
  <c r="M91" i="4" s="1"/>
  <c r="N91" i="4" s="1"/>
  <c r="J91" i="4"/>
  <c r="L90" i="4"/>
  <c r="K90" i="4"/>
  <c r="M90" i="4" s="1"/>
  <c r="N90" i="4" s="1"/>
  <c r="J90" i="4"/>
  <c r="L89" i="4"/>
  <c r="K89" i="4"/>
  <c r="M89" i="4" s="1"/>
  <c r="N89" i="4" s="1"/>
  <c r="J89" i="4"/>
  <c r="L88" i="4"/>
  <c r="K88" i="4"/>
  <c r="M88" i="4" s="1"/>
  <c r="N88" i="4" s="1"/>
  <c r="J88" i="4"/>
  <c r="L87" i="4"/>
  <c r="K87" i="4"/>
  <c r="M87" i="4" s="1"/>
  <c r="N87" i="4" s="1"/>
  <c r="J87" i="4"/>
  <c r="L86" i="4"/>
  <c r="K86" i="4"/>
  <c r="M86" i="4" s="1"/>
  <c r="N86" i="4" s="1"/>
  <c r="J86" i="4"/>
  <c r="L85" i="4"/>
  <c r="K85" i="4"/>
  <c r="M85" i="4" s="1"/>
  <c r="N85" i="4" s="1"/>
  <c r="J85" i="4"/>
  <c r="L84" i="4"/>
  <c r="K84" i="4"/>
  <c r="M84" i="4" s="1"/>
  <c r="N84" i="4" s="1"/>
  <c r="J84" i="4"/>
  <c r="L83" i="4"/>
  <c r="K83" i="4"/>
  <c r="M83" i="4" s="1"/>
  <c r="N83" i="4" s="1"/>
  <c r="J83" i="4"/>
  <c r="L82" i="4"/>
  <c r="K82" i="4"/>
  <c r="M82" i="4" s="1"/>
  <c r="N82" i="4" s="1"/>
  <c r="J82" i="4"/>
  <c r="L81" i="4"/>
  <c r="K81" i="4"/>
  <c r="M81" i="4" s="1"/>
  <c r="N81" i="4" s="1"/>
  <c r="J81" i="4"/>
  <c r="L80" i="4"/>
  <c r="K80" i="4"/>
  <c r="M80" i="4" s="1"/>
  <c r="N80" i="4" s="1"/>
  <c r="J80" i="4"/>
  <c r="L79" i="4"/>
  <c r="K79" i="4"/>
  <c r="M79" i="4" s="1"/>
  <c r="N79" i="4" s="1"/>
  <c r="J79" i="4"/>
  <c r="L78" i="4"/>
  <c r="K78" i="4"/>
  <c r="M78" i="4" s="1"/>
  <c r="N78" i="4" s="1"/>
  <c r="J78" i="4"/>
  <c r="L77" i="4"/>
  <c r="K77" i="4"/>
  <c r="M77" i="4" s="1"/>
  <c r="N77" i="4" s="1"/>
  <c r="J77" i="4"/>
  <c r="L76" i="4"/>
  <c r="K76" i="4"/>
  <c r="M76" i="4" s="1"/>
  <c r="N76" i="4" s="1"/>
  <c r="J76" i="4"/>
  <c r="L75" i="4"/>
  <c r="K75" i="4"/>
  <c r="M75" i="4" s="1"/>
  <c r="N75" i="4" s="1"/>
  <c r="J75" i="4"/>
  <c r="L74" i="4"/>
  <c r="K74" i="4"/>
  <c r="M74" i="4" s="1"/>
  <c r="N74" i="4" s="1"/>
  <c r="J74" i="4"/>
  <c r="L73" i="4"/>
  <c r="K73" i="4"/>
  <c r="M73" i="4" s="1"/>
  <c r="N73" i="4" s="1"/>
  <c r="J73" i="4"/>
  <c r="L72" i="4"/>
  <c r="K72" i="4"/>
  <c r="M72" i="4" s="1"/>
  <c r="N72" i="4" s="1"/>
  <c r="J72" i="4"/>
  <c r="L71" i="4"/>
  <c r="K71" i="4"/>
  <c r="M71" i="4" s="1"/>
  <c r="N71" i="4" s="1"/>
  <c r="J71" i="4"/>
  <c r="L70" i="4"/>
  <c r="K70" i="4"/>
  <c r="M70" i="4" s="1"/>
  <c r="N70" i="4" s="1"/>
  <c r="J70" i="4"/>
  <c r="L69" i="4"/>
  <c r="K69" i="4"/>
  <c r="M69" i="4" s="1"/>
  <c r="N69" i="4" s="1"/>
  <c r="J69" i="4"/>
  <c r="L68" i="4"/>
  <c r="K68" i="4"/>
  <c r="M68" i="4" s="1"/>
  <c r="N68" i="4" s="1"/>
  <c r="J68" i="4"/>
  <c r="L67" i="4"/>
  <c r="K67" i="4"/>
  <c r="M67" i="4" s="1"/>
  <c r="N67" i="4" s="1"/>
  <c r="J67" i="4"/>
  <c r="L66" i="4"/>
  <c r="K66" i="4"/>
  <c r="M66" i="4" s="1"/>
  <c r="N66" i="4" s="1"/>
  <c r="J66" i="4"/>
  <c r="L65" i="4"/>
  <c r="K65" i="4"/>
  <c r="M65" i="4" s="1"/>
  <c r="N65" i="4" s="1"/>
  <c r="J65" i="4"/>
  <c r="L64" i="4"/>
  <c r="K64" i="4"/>
  <c r="M64" i="4" s="1"/>
  <c r="N64" i="4" s="1"/>
  <c r="J64" i="4"/>
  <c r="M63" i="4"/>
  <c r="N63" i="4" s="1"/>
  <c r="L63" i="4"/>
  <c r="K63" i="4"/>
  <c r="J63" i="4"/>
  <c r="L62" i="4"/>
  <c r="K62" i="4"/>
  <c r="M62" i="4" s="1"/>
  <c r="N62" i="4" s="1"/>
  <c r="J62" i="4"/>
  <c r="L61" i="4"/>
  <c r="K61" i="4"/>
  <c r="M61" i="4" s="1"/>
  <c r="N61" i="4" s="1"/>
  <c r="J61" i="4"/>
  <c r="L60" i="4"/>
  <c r="K60" i="4"/>
  <c r="M60" i="4" s="1"/>
  <c r="N60" i="4" s="1"/>
  <c r="J60" i="4"/>
  <c r="L59" i="4"/>
  <c r="K59" i="4"/>
  <c r="M59" i="4" s="1"/>
  <c r="N59" i="4" s="1"/>
  <c r="J59" i="4"/>
  <c r="L58" i="4"/>
  <c r="K58" i="4"/>
  <c r="M58" i="4" s="1"/>
  <c r="N58" i="4" s="1"/>
  <c r="J58" i="4"/>
  <c r="L57" i="4"/>
  <c r="K57" i="4"/>
  <c r="M57" i="4" s="1"/>
  <c r="N57" i="4" s="1"/>
  <c r="J57" i="4"/>
  <c r="L56" i="4"/>
  <c r="K56" i="4"/>
  <c r="M56" i="4" s="1"/>
  <c r="N56" i="4" s="1"/>
  <c r="J56" i="4"/>
  <c r="L55" i="4"/>
  <c r="K55" i="4"/>
  <c r="M55" i="4" s="1"/>
  <c r="N55" i="4" s="1"/>
  <c r="J55" i="4"/>
  <c r="L54" i="4"/>
  <c r="K54" i="4"/>
  <c r="M54" i="4" s="1"/>
  <c r="N54" i="4" s="1"/>
  <c r="J54" i="4"/>
  <c r="L53" i="4"/>
  <c r="K53" i="4"/>
  <c r="M53" i="4" s="1"/>
  <c r="N53" i="4" s="1"/>
  <c r="J53" i="4"/>
  <c r="L52" i="4"/>
  <c r="K52" i="4"/>
  <c r="M52" i="4" s="1"/>
  <c r="N52" i="4" s="1"/>
  <c r="J52" i="4"/>
  <c r="L51" i="4"/>
  <c r="K51" i="4"/>
  <c r="M51" i="4" s="1"/>
  <c r="N51" i="4" s="1"/>
  <c r="J51" i="4"/>
  <c r="L50" i="4"/>
  <c r="K50" i="4"/>
  <c r="M50" i="4" s="1"/>
  <c r="N50" i="4" s="1"/>
  <c r="J50" i="4"/>
  <c r="L49" i="4"/>
  <c r="K49" i="4"/>
  <c r="M49" i="4" s="1"/>
  <c r="N49" i="4" s="1"/>
  <c r="J49" i="4"/>
  <c r="L48" i="4"/>
  <c r="K48" i="4"/>
  <c r="M48" i="4" s="1"/>
  <c r="N48" i="4" s="1"/>
  <c r="J48" i="4"/>
  <c r="L47" i="4"/>
  <c r="K47" i="4"/>
  <c r="M47" i="4" s="1"/>
  <c r="N47" i="4" s="1"/>
  <c r="J47" i="4"/>
  <c r="L46" i="4"/>
  <c r="K46" i="4"/>
  <c r="M46" i="4" s="1"/>
  <c r="N46" i="4" s="1"/>
  <c r="J46" i="4"/>
  <c r="L45" i="4"/>
  <c r="K45" i="4"/>
  <c r="M45" i="4" s="1"/>
  <c r="N45" i="4" s="1"/>
  <c r="J45" i="4"/>
  <c r="L44" i="4"/>
  <c r="K44" i="4"/>
  <c r="M44" i="4" s="1"/>
  <c r="N44" i="4" s="1"/>
  <c r="J44" i="4"/>
  <c r="L43" i="4"/>
  <c r="K43" i="4"/>
  <c r="M43" i="4" s="1"/>
  <c r="N43" i="4" s="1"/>
  <c r="J43" i="4"/>
  <c r="L42" i="4"/>
  <c r="K42" i="4"/>
  <c r="M42" i="4" s="1"/>
  <c r="N42" i="4" s="1"/>
  <c r="J42" i="4"/>
  <c r="L41" i="4"/>
  <c r="K41" i="4"/>
  <c r="M41" i="4" s="1"/>
  <c r="N41" i="4" s="1"/>
  <c r="J41" i="4"/>
  <c r="L40" i="4"/>
  <c r="K40" i="4"/>
  <c r="M40" i="4" s="1"/>
  <c r="N40" i="4" s="1"/>
  <c r="J40" i="4"/>
  <c r="L39" i="4"/>
  <c r="K39" i="4"/>
  <c r="M39" i="4" s="1"/>
  <c r="N39" i="4" s="1"/>
  <c r="J39" i="4"/>
  <c r="L38" i="4"/>
  <c r="K38" i="4"/>
  <c r="M38" i="4" s="1"/>
  <c r="N38" i="4" s="1"/>
  <c r="J38" i="4"/>
  <c r="L37" i="4"/>
  <c r="K37" i="4"/>
  <c r="M37" i="4" s="1"/>
  <c r="N37" i="4" s="1"/>
  <c r="J37" i="4"/>
  <c r="L36" i="4"/>
  <c r="K36" i="4"/>
  <c r="M36" i="4" s="1"/>
  <c r="N36" i="4" s="1"/>
  <c r="J36" i="4"/>
  <c r="L35" i="4"/>
  <c r="K35" i="4"/>
  <c r="M35" i="4" s="1"/>
  <c r="N35" i="4" s="1"/>
  <c r="J35" i="4"/>
  <c r="L34" i="4"/>
  <c r="K34" i="4"/>
  <c r="M34" i="4" s="1"/>
  <c r="N34" i="4" s="1"/>
  <c r="J34" i="4"/>
  <c r="L33" i="4"/>
  <c r="K33" i="4"/>
  <c r="M33" i="4" s="1"/>
  <c r="N33" i="4" s="1"/>
  <c r="J33" i="4"/>
  <c r="L32" i="4"/>
  <c r="K32" i="4"/>
  <c r="M32" i="4" s="1"/>
  <c r="N32" i="4" s="1"/>
  <c r="J32" i="4"/>
  <c r="L31" i="4"/>
  <c r="K31" i="4"/>
  <c r="M31" i="4" s="1"/>
  <c r="N31" i="4" s="1"/>
  <c r="J31" i="4"/>
  <c r="L30" i="4"/>
  <c r="K30" i="4"/>
  <c r="M30" i="4" s="1"/>
  <c r="N30" i="4" s="1"/>
  <c r="J30" i="4"/>
  <c r="L29" i="4"/>
  <c r="K29" i="4"/>
  <c r="M29" i="4" s="1"/>
  <c r="N29" i="4" s="1"/>
  <c r="J29" i="4"/>
  <c r="L28" i="4"/>
  <c r="K28" i="4"/>
  <c r="M28" i="4" s="1"/>
  <c r="N28" i="4" s="1"/>
  <c r="J28" i="4"/>
  <c r="L27" i="4"/>
  <c r="K27" i="4"/>
  <c r="M27" i="4" s="1"/>
  <c r="N27" i="4" s="1"/>
  <c r="J27" i="4"/>
  <c r="L26" i="4"/>
  <c r="K26" i="4"/>
  <c r="M26" i="4" s="1"/>
  <c r="N26" i="4" s="1"/>
  <c r="J26" i="4"/>
  <c r="L25" i="4"/>
  <c r="K25" i="4"/>
  <c r="M25" i="4" s="1"/>
  <c r="N25" i="4" s="1"/>
  <c r="J25" i="4"/>
  <c r="L24" i="4"/>
  <c r="K24" i="4"/>
  <c r="M24" i="4" s="1"/>
  <c r="N24" i="4" s="1"/>
  <c r="J24" i="4"/>
  <c r="L23" i="4"/>
  <c r="K23" i="4"/>
  <c r="M23" i="4" s="1"/>
  <c r="N23" i="4" s="1"/>
  <c r="J23" i="4"/>
  <c r="L22" i="4"/>
  <c r="K22" i="4"/>
  <c r="M22" i="4" s="1"/>
  <c r="N22" i="4" s="1"/>
  <c r="J22" i="4"/>
  <c r="L21" i="4"/>
  <c r="K21" i="4"/>
  <c r="M21" i="4" s="1"/>
  <c r="N21" i="4" s="1"/>
  <c r="J21" i="4"/>
  <c r="L20" i="4"/>
  <c r="K20" i="4"/>
  <c r="M20" i="4" s="1"/>
  <c r="N20" i="4" s="1"/>
  <c r="J20" i="4"/>
  <c r="L19" i="4"/>
  <c r="K19" i="4"/>
  <c r="M19" i="4" s="1"/>
  <c r="N19" i="4" s="1"/>
  <c r="J19" i="4"/>
  <c r="L18" i="4"/>
  <c r="K18" i="4"/>
  <c r="M18" i="4" s="1"/>
  <c r="N18" i="4" s="1"/>
  <c r="J18" i="4"/>
  <c r="L17" i="4"/>
  <c r="K17" i="4"/>
  <c r="M17" i="4" s="1"/>
  <c r="N17" i="4" s="1"/>
  <c r="J17" i="4"/>
  <c r="L16" i="4"/>
  <c r="K16" i="4"/>
  <c r="M16" i="4" s="1"/>
  <c r="J16" i="4"/>
  <c r="L15" i="4"/>
  <c r="K15" i="4"/>
  <c r="M15" i="4" s="1"/>
  <c r="J15" i="4"/>
  <c r="L14" i="4"/>
  <c r="K14" i="4"/>
  <c r="M14" i="4" s="1"/>
  <c r="J14" i="4"/>
  <c r="L13" i="4"/>
  <c r="K13" i="4"/>
  <c r="M13" i="4" s="1"/>
  <c r="J13" i="4"/>
  <c r="L12" i="4"/>
  <c r="K12" i="4"/>
  <c r="M12" i="4" s="1"/>
  <c r="J12" i="4"/>
  <c r="L11" i="4"/>
  <c r="K11" i="4"/>
  <c r="M11" i="4" s="1"/>
  <c r="J11" i="4"/>
  <c r="L10" i="4"/>
  <c r="K10" i="4"/>
  <c r="M10" i="4" s="1"/>
  <c r="J10" i="4"/>
  <c r="L9" i="4"/>
  <c r="K9" i="4"/>
  <c r="M9" i="4" s="1"/>
  <c r="J9" i="4"/>
  <c r="L8" i="4"/>
  <c r="K8" i="4"/>
  <c r="M8" i="4" s="1"/>
  <c r="J8" i="4"/>
  <c r="L7" i="4"/>
  <c r="K7" i="4"/>
  <c r="M7" i="4" s="1"/>
  <c r="J7" i="4"/>
  <c r="L6" i="4"/>
  <c r="K6" i="4"/>
  <c r="M6" i="4" s="1"/>
  <c r="J6" i="4"/>
  <c r="L5" i="4"/>
  <c r="K5" i="4"/>
  <c r="M5" i="4" s="1"/>
  <c r="J5" i="4"/>
  <c r="J7" i="2"/>
  <c r="H12" i="5" l="1"/>
  <c r="I12" i="5" s="1"/>
  <c r="H11" i="5"/>
  <c r="I11" i="5" s="1"/>
  <c r="H9" i="5"/>
  <c r="I9" i="5" s="1"/>
  <c r="H8" i="5"/>
  <c r="I8" i="5" s="1"/>
  <c r="H6" i="5"/>
  <c r="I6" i="5" s="1"/>
  <c r="H5" i="5"/>
  <c r="I5" i="5" s="1"/>
  <c r="K7" i="5"/>
  <c r="M292" i="4"/>
  <c r="N292" i="4" s="1"/>
  <c r="M283" i="4"/>
  <c r="N283" i="4" s="1"/>
  <c r="B7" i="10"/>
  <c r="B7" i="7"/>
  <c r="M282" i="4"/>
  <c r="N282" i="4" s="1"/>
  <c r="B6" i="10"/>
  <c r="B6" i="7"/>
  <c r="G7" i="5"/>
  <c r="D5" i="7"/>
  <c r="D15" i="6"/>
  <c r="M281" i="4"/>
  <c r="F7" i="5"/>
  <c r="M5" i="10"/>
  <c r="G7" i="10"/>
  <c r="B5" i="10"/>
  <c r="B5" i="7"/>
  <c r="B16" i="10"/>
  <c r="M280" i="4"/>
  <c r="N280" i="4" s="1"/>
  <c r="K10" i="5"/>
  <c r="B16" i="7"/>
  <c r="B15" i="10"/>
  <c r="M279" i="4"/>
  <c r="N279" i="4" s="1"/>
  <c r="B15" i="7"/>
  <c r="M278" i="4"/>
  <c r="N278" i="4" s="1"/>
  <c r="B14" i="10"/>
  <c r="B14" i="7"/>
  <c r="M277" i="4"/>
  <c r="N277" i="4" s="1"/>
  <c r="B13" i="10"/>
  <c r="B13" i="7"/>
  <c r="M276" i="4"/>
  <c r="N276" i="4" s="1"/>
  <c r="B12" i="10"/>
  <c r="B12" i="7"/>
  <c r="M275" i="4"/>
  <c r="N275" i="4" s="1"/>
  <c r="B11" i="7"/>
  <c r="B11" i="10"/>
  <c r="B6" i="8"/>
  <c r="B10" i="7"/>
  <c r="M274" i="4"/>
  <c r="N274" i="4" s="1"/>
  <c r="B10" i="10"/>
  <c r="H8" i="8"/>
  <c r="M273" i="4"/>
  <c r="B14" i="8"/>
  <c r="B9" i="7"/>
  <c r="B9" i="10"/>
  <c r="D8" i="7"/>
  <c r="G10" i="5"/>
  <c r="B13" i="8"/>
  <c r="B8" i="10"/>
  <c r="B8" i="7"/>
  <c r="J7" i="10"/>
  <c r="A7" i="2"/>
  <c r="M7" i="2" s="1"/>
  <c r="C15" i="6"/>
  <c r="E15" i="6" s="1"/>
  <c r="F14" i="6" s="1"/>
  <c r="B6" i="9"/>
  <c r="M7" i="10"/>
  <c r="F10" i="5"/>
  <c r="B8" i="6"/>
  <c r="M272" i="4"/>
  <c r="G10" i="10"/>
  <c r="H10" i="8"/>
  <c r="I10" i="8" s="1"/>
  <c r="N197" i="4"/>
  <c r="D8" i="6"/>
  <c r="E8" i="6" s="1"/>
  <c r="N101" i="4"/>
  <c r="D7" i="6"/>
  <c r="E7" i="6" s="1"/>
  <c r="N16" i="4"/>
  <c r="E16" i="7"/>
  <c r="F16" i="7" s="1"/>
  <c r="C16" i="10"/>
  <c r="N15" i="4"/>
  <c r="E15" i="7"/>
  <c r="F15" i="7" s="1"/>
  <c r="C15" i="10"/>
  <c r="N14" i="4"/>
  <c r="E14" i="7"/>
  <c r="F14" i="7" s="1"/>
  <c r="C14" i="10"/>
  <c r="N13" i="4"/>
  <c r="C13" i="10"/>
  <c r="E13" i="7"/>
  <c r="F13" i="7" s="1"/>
  <c r="N12" i="4"/>
  <c r="E12" i="7"/>
  <c r="F12" i="7" s="1"/>
  <c r="C12" i="10"/>
  <c r="N11" i="4"/>
  <c r="C11" i="10"/>
  <c r="E11" i="7"/>
  <c r="F11" i="7" s="1"/>
  <c r="N10" i="4"/>
  <c r="E10" i="7"/>
  <c r="F10" i="7" s="1"/>
  <c r="C10" i="10"/>
  <c r="N9" i="4"/>
  <c r="N8" i="4"/>
  <c r="N7" i="4"/>
  <c r="E7" i="7"/>
  <c r="C7" i="10"/>
  <c r="N6" i="4"/>
  <c r="E6" i="7"/>
  <c r="C6" i="10"/>
  <c r="N5" i="4"/>
  <c r="D6" i="6"/>
  <c r="E6" i="6" s="1"/>
  <c r="C5" i="10"/>
  <c r="G7" i="7" l="1"/>
  <c r="H7" i="7"/>
  <c r="G6" i="7"/>
  <c r="H6" i="7"/>
  <c r="H7" i="5"/>
  <c r="I7" i="5" s="1"/>
  <c r="J7" i="5"/>
  <c r="L7" i="5"/>
  <c r="G7" i="9"/>
  <c r="H5" i="7"/>
  <c r="G8" i="9"/>
  <c r="G16" i="7"/>
  <c r="H16" i="7"/>
  <c r="L12" i="1" s="1"/>
  <c r="G15" i="7"/>
  <c r="H15" i="7"/>
  <c r="G14" i="7"/>
  <c r="H14" i="7"/>
  <c r="G13" i="7"/>
  <c r="H13" i="7"/>
  <c r="G12" i="7"/>
  <c r="H12" i="7"/>
  <c r="G11" i="7"/>
  <c r="H11" i="7"/>
  <c r="D6" i="8"/>
  <c r="E6" i="8"/>
  <c r="G10" i="7"/>
  <c r="H10" i="7"/>
  <c r="I6" i="8"/>
  <c r="I7" i="8"/>
  <c r="I9" i="8"/>
  <c r="I11" i="8"/>
  <c r="I8" i="8"/>
  <c r="E14" i="8"/>
  <c r="D14" i="8"/>
  <c r="G9" i="7"/>
  <c r="H9" i="7"/>
  <c r="D13" i="8"/>
  <c r="E13" i="8"/>
  <c r="G8" i="7"/>
  <c r="H8" i="7"/>
  <c r="F13" i="6"/>
  <c r="F15" i="6"/>
  <c r="B12" i="1"/>
  <c r="B11" i="9"/>
  <c r="H10" i="5"/>
  <c r="I10" i="5" s="1"/>
  <c r="J10" i="5"/>
  <c r="L10" i="5"/>
  <c r="F7" i="6"/>
  <c r="F6" i="6"/>
  <c r="G6" i="9"/>
  <c r="F8" i="6"/>
  <c r="F7" i="7"/>
  <c r="F6" i="7"/>
  <c r="G9" i="9"/>
  <c r="N281" i="4"/>
  <c r="E5" i="7"/>
  <c r="F5" i="7" s="1"/>
  <c r="L12" i="5"/>
  <c r="J12" i="5"/>
  <c r="J11" i="5"/>
  <c r="L11" i="5"/>
  <c r="L9" i="5"/>
  <c r="J9" i="5"/>
  <c r="L8" i="5"/>
  <c r="J8" i="5"/>
  <c r="L6" i="5"/>
  <c r="J6" i="5"/>
  <c r="L5" i="5"/>
  <c r="J5" i="5"/>
  <c r="D12" i="8"/>
  <c r="E12" i="8"/>
  <c r="D11" i="8"/>
  <c r="E11" i="8"/>
  <c r="D10" i="8"/>
  <c r="E10" i="8"/>
  <c r="D9" i="8"/>
  <c r="E9" i="8"/>
  <c r="E8" i="8"/>
  <c r="D8" i="8"/>
  <c r="D7" i="8"/>
  <c r="E7" i="8"/>
  <c r="N273" i="4"/>
  <c r="E9" i="7"/>
  <c r="F9" i="7" s="1"/>
  <c r="C9" i="10"/>
  <c r="N272" i="4"/>
  <c r="E8" i="7"/>
  <c r="F8" i="7" s="1"/>
  <c r="C8" i="10"/>
  <c r="D7" i="2"/>
  <c r="G7" i="2" s="1"/>
  <c r="B7" i="9"/>
  <c r="B8" i="9" s="1"/>
  <c r="G12" i="1" s="1"/>
</calcChain>
</file>

<file path=xl/sharedStrings.xml><?xml version="1.0" encoding="utf-8"?>
<sst xmlns="http://schemas.openxmlformats.org/spreadsheetml/2006/main" count="1976" uniqueCount="174">
  <si>
    <t>SALES PERFORMANCE PORTFOLIO</t>
  </si>
  <si>
    <t>ATK Sejahtera  •  Transaction Analysis, January to December 2026</t>
  </si>
  <si>
    <t>Prepared by Rifal Azhar Permana</t>
  </si>
  <si>
    <t>Data Analyst Portfolio Project</t>
  </si>
  <si>
    <t>TOTAL REVENUE (Rp)</t>
  </si>
  <si>
    <t>GROSS MARGIN</t>
  </si>
  <si>
    <t>REVENUE GROWTH (JAN TO DEC)</t>
  </si>
  <si>
    <t>WHAT THIS FILE DEMONSTRATES</t>
  </si>
  <si>
    <t>•  I cleaned and structured 288 rows of raw transaction data from 3 branches, then built a connected analysis system (not static numbers) using SUMIFS, INDEX/MATCH, and IFERROR.</t>
  </si>
  <si>
    <t>•  Interactive dashboard with a branch filter: once the branch changes, every KPI card and chart updates automatically, no manual formula edits needed.</t>
  </si>
  <si>
    <t>•  Real business insight in the Summary sheet, not just a recap of numbers, but conclusions that can support decisions (for example, which product is profitable but has a 'thinning' margin).</t>
  </si>
  <si>
    <t>Contact: rifalazharpermana@gmail.com   •   https://www.linkedin.com/in/rifalazharpermana/   •   This file was built entirely in Excel, without a third-party template.</t>
  </si>
  <si>
    <t>SALES PERFORMANCE DASHBOARD</t>
  </si>
  <si>
    <t>ATK Sejahtera  •  January to December 2026  •  Prepared by Rifal Azhar Permana</t>
  </si>
  <si>
    <t>Branch</t>
  </si>
  <si>
    <t>All Branches</t>
  </si>
  <si>
    <t>Select a branch to update the KPI cards and charts.</t>
  </si>
  <si>
    <t>GROSS PROFIT (Rp)</t>
  </si>
  <si>
    <t>UNITS SOLD</t>
  </si>
  <si>
    <t>AVG. REVENUE / TRANSACTION (Rp)</t>
  </si>
  <si>
    <t>MONTHLY REVENUE</t>
  </si>
  <si>
    <t>REVENUE BY PRODUCT</t>
  </si>
  <si>
    <t>REVENUE BY BRANCH</t>
  </si>
  <si>
    <t>REVENUE MIX BY CATEGORY</t>
  </si>
  <si>
    <t>KEY FINDINGS</t>
  </si>
  <si>
    <t>Use the branch selector above to compare performance. The detailed product, branch, monthly and customer tables are in the analysis sheets.</t>
  </si>
  <si>
    <t>SALES ANALYTICS PORTFOLIO</t>
  </si>
  <si>
    <t>Excel Portfolio  •  ATK Sejahtera  •  2026  •  by Rifal Azhar Permana</t>
  </si>
  <si>
    <t>ABOUT THE FILE</t>
  </si>
  <si>
    <t>I built this file from raw transaction data for ATK Sejahtera's 3 branches across one full year (January to December 2026). The goal wasn't just to clean up numbers, but to build an analysis flow that can be reused: from raw data, to helper tables, to a dashboard that can be filtered by branch. Every number across every sheet is connected through formulas, so if the raw data changes, the whole report updates automatically.</t>
  </si>
  <si>
    <t>WORKBOOK STRUCTURE</t>
  </si>
  <si>
    <t>WHAT I USED</t>
  </si>
  <si>
    <t>Dashboard</t>
  </si>
  <si>
    <t>Main view and branch filter</t>
  </si>
  <si>
    <t>Data cleaning</t>
  </si>
  <si>
    <t>Calculated month number, revenue, COGS and gross profit</t>
  </si>
  <si>
    <t>Raw Data</t>
  </si>
  <si>
    <t>Transaction-level source data</t>
  </si>
  <si>
    <t>Analysis</t>
  </si>
  <si>
    <t>SUMIFS, INDEX/MATCH, IFERROR, RANK</t>
  </si>
  <si>
    <t>Sales Analysis</t>
  </si>
  <si>
    <t>Product performance</t>
  </si>
  <si>
    <t>Charts, KPI cards and a branch selector</t>
  </si>
  <si>
    <t>Branch Analysis</t>
  </si>
  <si>
    <t>Branch and category performance</t>
  </si>
  <si>
    <t>Monthly Analysis</t>
  </si>
  <si>
    <t>Monthly trend and growth</t>
  </si>
  <si>
    <t>Customer Analysis</t>
  </si>
  <si>
    <t>Customer and sales rep contribution</t>
  </si>
  <si>
    <t>Summary</t>
  </si>
  <si>
    <t>Key metrics and findings</t>
  </si>
  <si>
    <t>Calculations</t>
  </si>
  <si>
    <t>Helper tables for dashboard charts</t>
  </si>
  <si>
    <t>Note: The source data does not contain a discount field, so this portfolio does not invent a “net revenue” metric.</t>
  </si>
  <si>
    <t>MY APPROACH</t>
  </si>
  <si>
    <t>1. Data cleaning first. I checked the raw data to make sure there were no duplicate or empty rows, then added a helper column (Month No.) so it could be sorted chronologically instead of alphabetically.</t>
  </si>
  <si>
    <t>2. I intentionally avoided PivotTables so the whole logic stays transparent through formulas (SUMIFS/INDEX-MATCH). It's easier for someone else to audit, and I can explain every number if asked.</t>
  </si>
  <si>
    <t>3. Cross-check: I compared total revenue on the Dashboard, the Summary, and a manual SUM from Raw Data, and they all matched exactly (Rp99,664,000), so no formula points in the wrong direction.</t>
  </si>
  <si>
    <t>4. The insights on the Summary sheet are based on patterns that actually show up in the data, not a generic template, for example the finding about Notebook's margin below.</t>
  </si>
  <si>
    <t>SALES DATA</t>
  </si>
  <si>
    <t>Source data + calculated fields used in the workbook</t>
  </si>
  <si>
    <t>Product</t>
  </si>
  <si>
    <t>Category</t>
  </si>
  <si>
    <t>Month</t>
  </si>
  <si>
    <t>Units Sold</t>
  </si>
  <si>
    <t>Unit Price (Rp)</t>
  </si>
  <si>
    <t>Unit Cost (Rp)</t>
  </si>
  <si>
    <t>Sales Rep</t>
  </si>
  <si>
    <t>Customer</t>
  </si>
  <si>
    <t>Month No.</t>
  </si>
  <si>
    <t>Revenue (Rp)</t>
  </si>
  <si>
    <t>COGS (Rp)</t>
  </si>
  <si>
    <t>Gross Profit (Rp)</t>
  </si>
  <si>
    <t>Gross Margin</t>
  </si>
  <si>
    <t>Bandung</t>
  </si>
  <si>
    <t>Notebook</t>
  </si>
  <si>
    <t>Paper Products</t>
  </si>
  <si>
    <t>January</t>
  </si>
  <si>
    <t>Andi Prasetyo</t>
  </si>
  <si>
    <t>Toko Berkah Jaya</t>
  </si>
  <si>
    <t>February</t>
  </si>
  <si>
    <t>Sri Wulandari</t>
  </si>
  <si>
    <t>CV Sumber Makmur</t>
  </si>
  <si>
    <t>March</t>
  </si>
  <si>
    <t>Sekolah Tunas Bangsa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</si>
  <si>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</si>
  <si>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</si>
  <si>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</si>
  <si>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</si>
  <si>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</si>
  <si>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</si>
  <si>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</si>
  <si>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</si>
  <si>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</si>
  <si>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Ballpoint Pen</t>
  </si>
  <si>
    <t>Writing Tools</t>
  </si>
  <si>
    <t>Sticky Notes</t>
  </si>
  <si>
    <t>Highlighter</t>
  </si>
  <si>
    <t>Correction Tape</t>
  </si>
  <si>
    <t>Accessories</t>
  </si>
  <si>
    <t>Ruler</t>
  </si>
  <si>
    <t>Pencil</t>
  </si>
  <si>
    <t>Eraser</t>
  </si>
  <si>
    <t>Jakarta</t>
  </si>
  <si>
    <t>Budi Santoso</t>
  </si>
  <si>
    <t>PT Media Kreasi</t>
  </si>
  <si>
    <t>Maya Kusuma</t>
  </si>
  <si>
    <t>Toko Cahaya Ilmu</t>
  </si>
  <si>
    <t>Kantor Pratama Abadi</t>
  </si>
  <si>
    <t>Surabaya</t>
  </si>
  <si>
    <t>Dedi Hermawan</t>
  </si>
  <si>
    <t>Toko Ceria</t>
  </si>
  <si>
    <t>Rina Anggraini</t>
  </si>
  <si>
    <t>Yayasan Pendidikan Nusantara</t>
  </si>
  <si>
    <t>CV Anugerah Sejahtera</t>
  </si>
  <si>
    <t>PRODUCT ANALYSIS</t>
  </si>
  <si>
    <t>Product sales, profit and margin</t>
  </si>
  <si>
    <t>Margin %</t>
  </si>
  <si>
    <t>Revenue Share</t>
  </si>
  <si>
    <t>Growth Jan-Dec</t>
  </si>
  <si>
    <t>Rank</t>
  </si>
  <si>
    <t>BRANCH ANALYSIS</t>
  </si>
  <si>
    <t>Compare branch performance and category contribution</t>
  </si>
  <si>
    <t>BRANCH PERFORMANCE</t>
  </si>
  <si>
    <t>CATEGORY BY BRANCH</t>
  </si>
  <si>
    <t>Total Revenue</t>
  </si>
  <si>
    <t>Share of Total</t>
  </si>
  <si>
    <t>MONTHLY ANALYSIS</t>
  </si>
  <si>
    <t>Revenue, units, profit and month-over-month growth</t>
  </si>
  <si>
    <t>MoM Growth</t>
  </si>
  <si>
    <t>Revenue Index</t>
  </si>
  <si>
    <t>N/A</t>
  </si>
  <si>
    <t>CUSTOMER &amp; SALES REP ANALYSIS</t>
  </si>
  <si>
    <t>Contribution by customer and sales representative</t>
  </si>
  <si>
    <t>CUSTOMER PERFORMANCE</t>
  </si>
  <si>
    <t>SALES REP PERFORMANCE</t>
  </si>
  <si>
    <t>EXECUTIVE SUMMARY</t>
  </si>
  <si>
    <t>A short summary of the sales portfolio</t>
  </si>
  <si>
    <t>KEY METRICS</t>
  </si>
  <si>
    <t>TOP PERFORMERS</t>
  </si>
  <si>
    <t>Metric</t>
  </si>
  <si>
    <t>Result</t>
  </si>
  <si>
    <t>Formula / Source</t>
  </si>
  <si>
    <t>Comment</t>
  </si>
  <si>
    <t>Item</t>
  </si>
  <si>
    <t>Raw Data / Revenue</t>
  </si>
  <si>
    <t>Total sales value</t>
  </si>
  <si>
    <t>Top Branch</t>
  </si>
  <si>
    <t>Gross Profit</t>
  </si>
  <si>
    <t>Revenue - COGS</t>
  </si>
  <si>
    <t>Profit before other expenses</t>
  </si>
  <si>
    <t>Top Product</t>
  </si>
  <si>
    <t>Gross Profit / Revenue</t>
  </si>
  <si>
    <t>Overall gross margin</t>
  </si>
  <si>
    <t>Best Month</t>
  </si>
  <si>
    <t>Raw Data / Units Sold</t>
  </si>
  <si>
    <t>Total units sold</t>
  </si>
  <si>
    <t>Highest Margin Branch</t>
  </si>
  <si>
    <t>Transactions</t>
  </si>
  <si>
    <t>Raw Data rows</t>
  </si>
  <si>
    <t>Number of transaction rows</t>
  </si>
  <si>
    <t>Avg Revenue / Transaction</t>
  </si>
  <si>
    <t>Revenue / Transactions</t>
  </si>
  <si>
    <t>Average revenue per row</t>
  </si>
  <si>
    <t>OBSERVATIONS</t>
  </si>
  <si>
    <t>1. Branch margins are nearly identical (Bandung 38.82%, Jakarta 38.81%, Surabaya 38.80%), so Jakarta's revenue being 59% higher than Surabaya comes purely from market and volume scale, not a difference in operational efficiency.</t>
  </si>
  <si>
    <t>2. Notebook is the largest revenue contributor (29.6% of total) but also has the thinnest margin (32.0%), the lowest of all 8 products. Opportunity: push cross-sell of Eraser/Ruler (45% and 42.9% margin) to Notebook buyers to lift margin without sacrificing volume.</t>
  </si>
  <si>
    <t>3. Notebook is also the fastest-growing product from January to December (+46.3%), which makes it the main growth driver but also the biggest drag on margin. This pattern is worth tracking monthly, not just reviewed once at year-end.</t>
  </si>
  <si>
    <t>4. Revenue from the top 2 sales reps (Maya Kusuma and Budi Santoso) makes up 41% of total sales, a fairly high concentration in 2 out of 6 people. This signals a dependency on specific individuals that the team should keep an eye on.</t>
  </si>
  <si>
    <t>5. Monthly revenue grew consistently with no decline at all from January to December (index 1.00x to 1.40x, +40%), a stable growth trend rather than a one-off seasonal spike that's prone to dropping back down.</t>
  </si>
  <si>
    <t>CALCULATIONS</t>
  </si>
  <si>
    <t>Helper tables that feed the dashboard charts</t>
  </si>
  <si>
    <t>Revenue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</si>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</sst>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_-[$Rp-3809]* #,##0.00_-;\-[$Rp-3809]* #,##0.00_-;_-[$Rp-3809]* \-??_-;_-@_-"/>
    <numFmt numFmtId="166" formatCode="&quot;Rp&quot;#,##0.00;[Red]&quot;-Rp&quot;#,##0.00"/>
    <numFmt numFmtId="167" formatCode="0.00\x"/>
    <numFmt numFmtId="168" formatCode="_-&quot;Rp&quot;* #,##0.00_-;&quot;-Rp&quot;* #,##0.00_-;_-&quot;Rp&quot;* \-??_-;_-@_-"/>
  </numFmts>
  <fonts count="22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i/>
      <sz val="12"/>
      <color rgb="FF666666"/>
      <name val="Calibri"/>
      <charset val="1"/>
    </font>
    <font>
      <b/>
      <sz val="15"/>
      <color rgb="FF17365D"/>
      <name val="Calibri"/>
      <charset val="1"/>
    </font>
    <font>
      <sz val="11"/>
      <color rgb="FF666666"/>
      <name val="Calibri"/>
      <charset val="1"/>
    </font>
    <font>
      <b/>
      <sz val="10"/>
      <color rgb="FFFFFFFF"/>
      <name val="Calibri"/>
      <charset val="1"/>
    </font>
    <font>
      <b/>
      <sz val="20"/>
      <color rgb="FF17365D"/>
      <name val="Calibri"/>
      <charset val="1"/>
    </font>
    <font>
      <b/>
      <sz val="11"/>
      <color rgb="FFFFFFFF"/>
      <name val="Calibri"/>
      <charset val="1"/>
    </font>
    <font>
      <sz val="10.5"/>
      <color rgb="FF333333"/>
      <name val="Calibri"/>
      <charset val="1"/>
    </font>
    <font>
      <i/>
      <sz val="9.5"/>
      <color rgb="FF666666"/>
      <name val="Calibri"/>
      <charset val="1"/>
    </font>
    <font>
      <b/>
      <sz val="16"/>
      <color rgb="FFFFFFFF"/>
      <name val="Calibri"/>
      <charset val="1"/>
    </font>
    <font>
      <i/>
      <sz val="10"/>
      <color rgb="FF666666"/>
      <name val="Calibri"/>
      <charset val="1"/>
    </font>
    <font>
      <b/>
      <sz val="11"/>
      <color rgb="FF222222"/>
      <name val="Cambria"/>
      <charset val="1"/>
    </font>
    <font>
      <i/>
      <sz val="11"/>
      <color rgb="FF666666"/>
      <name val="Cambria"/>
      <charset val="1"/>
    </font>
    <font>
      <b/>
      <sz val="10"/>
      <color rgb="FFFFFFFF"/>
      <name val="Cambria"/>
      <charset val="1"/>
    </font>
    <font>
      <b/>
      <sz val="15"/>
      <color rgb="FF17365D"/>
      <name val="Cambria"/>
      <charset val="1"/>
    </font>
    <font>
      <sz val="10"/>
      <color rgb="FF222222"/>
      <name val="Cambria"/>
      <charset val="1"/>
    </font>
    <font>
      <i/>
      <sz val="12"/>
      <color rgb="FF666666"/>
      <name val="Calibri"/>
      <family val="2"/>
      <charset val="1"/>
    </font>
    <font>
      <sz val="11"/>
      <color rgb="FF222222"/>
      <name val="Cambria"/>
      <charset val="1"/>
    </font>
    <font>
      <b/>
      <sz val="11"/>
      <color rgb="FF17365D"/>
      <name val="Cambria"/>
      <charset val="1"/>
    </font>
    <font>
      <sz val="10"/>
      <color rgb="FF333333"/>
      <name val="Calibri"/>
      <charset val="1"/>
    </font>
    <font>
      <sz val="1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F4F7FA"/>
        <bgColor rgb="FFF7F9FB"/>
      </patternFill>
    </fill>
    <fill>
      <patternFill patternType="solid">
        <fgColor rgb="FFFFF2CC"/>
        <bgColor rgb="FFF9F9F9"/>
      </patternFill>
    </fill>
    <fill>
      <patternFill patternType="solid">
        <fgColor rgb="FFF7F9FB"/>
        <bgColor rgb="FFF9F9F9"/>
      </patternFill>
    </fill>
  </fills>
  <borders count="26">
    <border>
      <left/>
      <right/>
      <top/>
      <bottom/>
      <diagonal/>
    </border>
    <border>
      <left/>
      <right/>
      <top style="thin">
        <color theme="0" tint="-0.14999847407452621"/>
      </top>
      <bottom style="medium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D9D9D9"/>
      </left>
      <right/>
      <top/>
      <bottom/>
      <diagonal/>
    </border>
    <border>
      <left/>
      <right/>
      <top style="thick">
        <color theme="0" tint="-0.14999847407452621"/>
      </top>
      <bottom style="thick">
        <color theme="0" tint="-0.14999847407452621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auto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auto="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auto="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theme="0" tint="-0.14999847407452621"/>
      </right>
      <top style="thin">
        <color rgb="FFD9D9D9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 style="thin">
        <color rgb="FFD9D9D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rgb="FFD9D9D9"/>
      </bottom>
      <diagonal/>
    </border>
    <border>
      <left/>
      <right/>
      <top style="thick">
        <color theme="0" tint="-0.1499984740745262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1" fillId="0" borderId="0" xfId="0" applyFont="1" applyAlignment="1">
      <alignment horizontal="center"/>
    </xf>
    <xf numFmtId="0" fontId="0" fillId="3" borderId="0" xfId="0" applyFill="1"/>
    <xf numFmtId="0" fontId="12" fillId="0" borderId="0" xfId="0" applyFont="1"/>
    <xf numFmtId="0" fontId="12" fillId="5" borderId="0" xfId="0" applyFont="1" applyFill="1" applyAlignment="1" applyProtection="1">
      <alignment horizontal="center"/>
      <protection locked="0"/>
    </xf>
    <xf numFmtId="0" fontId="0" fillId="0" borderId="4" xfId="0" applyBorder="1"/>
    <xf numFmtId="0" fontId="19" fillId="0" borderId="9" xfId="0" applyFont="1" applyBorder="1"/>
    <xf numFmtId="0" fontId="19" fillId="0" borderId="2" xfId="0" applyFont="1" applyBorder="1"/>
    <xf numFmtId="0" fontId="0" fillId="0" borderId="0" xfId="0" applyAlignment="1">
      <alignment horizontal="center"/>
    </xf>
    <xf numFmtId="165" fontId="0" fillId="0" borderId="0" xfId="0" applyNumberFormat="1"/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0" fontId="0" fillId="6" borderId="2" xfId="0" applyFill="1" applyBorder="1" applyAlignment="1">
      <alignment vertical="center"/>
    </xf>
    <xf numFmtId="3" fontId="0" fillId="6" borderId="2" xfId="0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164" fontId="0" fillId="6" borderId="2" xfId="0" applyNumberForma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165" fontId="0" fillId="0" borderId="9" xfId="0" applyNumberFormat="1" applyBorder="1" applyAlignment="1">
      <alignment vertical="center"/>
    </xf>
    <xf numFmtId="3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6" fontId="0" fillId="0" borderId="0" xfId="0" applyNumberFormat="1"/>
    <xf numFmtId="0" fontId="10" fillId="0" borderId="0" xfId="0" applyFont="1" applyAlignment="1">
      <alignment vertical="center"/>
    </xf>
    <xf numFmtId="0" fontId="11" fillId="0" borderId="0" xfId="0" applyFont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5" fillId="3" borderId="13" xfId="0" applyFont="1" applyFill="1" applyBorder="1" applyAlignment="1">
      <alignment horizontal="center" vertical="center"/>
    </xf>
    <xf numFmtId="165" fontId="5" fillId="3" borderId="13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0" fillId="0" borderId="5" xfId="0" applyBorder="1"/>
    <xf numFmtId="0" fontId="0" fillId="0" borderId="15" xfId="0" applyBorder="1"/>
    <xf numFmtId="0" fontId="0" fillId="6" borderId="16" xfId="0" applyFill="1" applyBorder="1" applyAlignment="1">
      <alignment vertical="center"/>
    </xf>
    <xf numFmtId="165" fontId="0" fillId="6" borderId="16" xfId="0" applyNumberFormat="1" applyFill="1" applyBorder="1" applyAlignment="1">
      <alignment vertical="center"/>
    </xf>
    <xf numFmtId="3" fontId="0" fillId="6" borderId="16" xfId="0" applyNumberFormat="1" applyFill="1" applyBorder="1" applyAlignment="1">
      <alignment horizontal="center" vertical="center"/>
    </xf>
    <xf numFmtId="165" fontId="0" fillId="6" borderId="17" xfId="0" applyNumberFormat="1" applyFill="1" applyBorder="1" applyAlignment="1">
      <alignment vertical="center"/>
    </xf>
    <xf numFmtId="164" fontId="0" fillId="6" borderId="17" xfId="0" applyNumberForma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65" fontId="0" fillId="0" borderId="19" xfId="0" applyNumberFormat="1" applyBorder="1" applyAlignment="1">
      <alignment vertical="center"/>
    </xf>
    <xf numFmtId="164" fontId="0" fillId="0" borderId="4" xfId="0" applyNumberFormat="1" applyBorder="1" applyAlignment="1">
      <alignment horizontal="center" vertical="center"/>
    </xf>
    <xf numFmtId="0" fontId="0" fillId="6" borderId="9" xfId="0" applyFill="1" applyBorder="1" applyAlignment="1">
      <alignment vertical="center"/>
    </xf>
    <xf numFmtId="165" fontId="0" fillId="6" borderId="9" xfId="0" applyNumberFormat="1" applyFill="1" applyBorder="1" applyAlignment="1">
      <alignment vertical="center"/>
    </xf>
    <xf numFmtId="3" fontId="0" fillId="6" borderId="9" xfId="0" applyNumberFormat="1" applyFill="1" applyBorder="1" applyAlignment="1">
      <alignment horizontal="center" vertical="center"/>
    </xf>
    <xf numFmtId="165" fontId="0" fillId="6" borderId="19" xfId="0" applyNumberFormat="1" applyFill="1" applyBorder="1" applyAlignment="1">
      <alignment vertical="center"/>
    </xf>
    <xf numFmtId="164" fontId="0" fillId="6" borderId="4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3" borderId="20" xfId="0" applyFont="1" applyFill="1" applyBorder="1" applyAlignment="1">
      <alignment horizontal="center" vertical="center"/>
    </xf>
    <xf numFmtId="165" fontId="5" fillId="3" borderId="20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0" borderId="19" xfId="0" applyBorder="1"/>
    <xf numFmtId="0" fontId="0" fillId="0" borderId="15" xfId="0" applyBorder="1" applyAlignment="1">
      <alignment vertical="center"/>
    </xf>
    <xf numFmtId="165" fontId="0" fillId="0" borderId="22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6" borderId="15" xfId="0" applyFill="1" applyBorder="1" applyAlignment="1">
      <alignment vertical="center"/>
    </xf>
    <xf numFmtId="165" fontId="0" fillId="6" borderId="22" xfId="0" applyNumberFormat="1" applyFill="1" applyBorder="1" applyAlignment="1">
      <alignment vertical="center"/>
    </xf>
    <xf numFmtId="164" fontId="0" fillId="6" borderId="5" xfId="0" applyNumberFormat="1" applyFill="1" applyBorder="1" applyAlignment="1">
      <alignment vertical="center"/>
    </xf>
    <xf numFmtId="0" fontId="0" fillId="0" borderId="19" xfId="0" applyBorder="1" applyAlignment="1">
      <alignment vertical="center"/>
    </xf>
    <xf numFmtId="164" fontId="0" fillId="0" borderId="21" xfId="0" applyNumberFormat="1" applyBorder="1" applyAlignment="1">
      <alignment vertical="center"/>
    </xf>
    <xf numFmtId="165" fontId="0" fillId="0" borderId="9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167" fontId="0" fillId="6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8" fontId="21" fillId="0" borderId="2" xfId="0" applyNumberFormat="1" applyFont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9" fontId="0" fillId="6" borderId="2" xfId="0" applyNumberForma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vertical="center"/>
    </xf>
    <xf numFmtId="164" fontId="0" fillId="6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3" fontId="0" fillId="6" borderId="2" xfId="0" applyNumberFormat="1" applyFill="1" applyBorder="1" applyAlignment="1">
      <alignment vertical="center"/>
    </xf>
    <xf numFmtId="0" fontId="20" fillId="0" borderId="0" xfId="0" applyFont="1" applyAlignment="1">
      <alignment vertical="top" wrapText="1"/>
    </xf>
    <xf numFmtId="0" fontId="10" fillId="2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3" borderId="2" xfId="0" applyFont="1" applyFill="1" applyBorder="1" applyAlignment="1">
      <alignment horizontal="center" vertical="center"/>
    </xf>
    <xf numFmtId="3" fontId="15" fillId="4" borderId="2" xfId="0" applyNumberFormat="1" applyFont="1" applyFill="1" applyBorder="1" applyAlignment="1">
      <alignment horizontal="center" vertical="center"/>
    </xf>
    <xf numFmtId="164" fontId="15" fillId="4" borderId="2" xfId="0" applyNumberFormat="1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vertical="top" wrapText="1"/>
    </xf>
    <xf numFmtId="0" fontId="7" fillId="3" borderId="3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6" borderId="7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center"/>
    </xf>
    <xf numFmtId="0" fontId="18" fillId="0" borderId="9" xfId="0" applyFont="1" applyBorder="1"/>
    <xf numFmtId="0" fontId="0" fillId="0" borderId="9" xfId="0" applyBorder="1" applyAlignment="1">
      <alignment wrapText="1"/>
    </xf>
    <xf numFmtId="0" fontId="18" fillId="0" borderId="2" xfId="0" applyFont="1" applyBorder="1"/>
    <xf numFmtId="0" fontId="0" fillId="0" borderId="2" xfId="0" applyBorder="1" applyAlignment="1">
      <alignment wrapText="1"/>
    </xf>
    <xf numFmtId="0" fontId="13" fillId="0" borderId="0" xfId="0" applyFont="1" applyAlignment="1">
      <alignment vertical="top" wrapText="1"/>
    </xf>
    <xf numFmtId="0" fontId="7" fillId="3" borderId="0" xfId="0" applyFont="1" applyFill="1"/>
    <xf numFmtId="0" fontId="10" fillId="2" borderId="1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C0504D"/>
      <rgbColor rgb="FFFFF2CC"/>
      <rgbColor rgb="FFF4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F9F9F9"/>
      <rgbColor rgb="FFFFFF99"/>
      <rgbColor rgb="FF99CCFF"/>
      <rgbColor rgb="FFFF99CC"/>
      <rgbColor rgb="FFCC99FF"/>
      <rgbColor rgb="FFFFCC99"/>
      <rgbColor rgb="FF2F75B5"/>
      <rgbColor rgb="FF33CCCC"/>
      <rgbColor rgb="FF98B855"/>
      <rgbColor rgb="FFFFCC00"/>
      <rgbColor rgb="FFFF9900"/>
      <rgbColor rgb="FFFF6600"/>
      <rgbColor rgb="FF666666"/>
      <rgbColor rgb="FF9BBB59"/>
      <rgbColor rgb="FF17365D"/>
      <rgbColor rgb="FF4F81BD"/>
      <rgbColor rgb="FF003300"/>
      <rgbColor rgb="FF222222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Calculations!$B$5:$B$16</c:f>
              <c:numCache>
                <c:formatCode>_-[$Rp-3809]* #,##0.00_-;\-[$Rp-3809]* #,##0.00_-;_-[$Rp-3809]* \-??_-;_-@_-</c:formatCode>
                <c:ptCount val="12"/>
                <c:pt idx="0">
                  <c:v>6906000</c:v>
                </c:pt>
                <c:pt idx="1">
                  <c:v>7224000</c:v>
                </c:pt>
                <c:pt idx="2">
                  <c:v>7440000</c:v>
                </c:pt>
                <c:pt idx="3">
                  <c:v>7698000</c:v>
                </c:pt>
                <c:pt idx="4">
                  <c:v>7935000</c:v>
                </c:pt>
                <c:pt idx="5">
                  <c:v>8160000</c:v>
                </c:pt>
                <c:pt idx="6">
                  <c:v>8478000</c:v>
                </c:pt>
                <c:pt idx="7">
                  <c:v>8655000</c:v>
                </c:pt>
                <c:pt idx="8">
                  <c:v>8895000</c:v>
                </c:pt>
                <c:pt idx="9">
                  <c:v>9194000</c:v>
                </c:pt>
                <c:pt idx="10">
                  <c:v>9384000</c:v>
                </c:pt>
                <c:pt idx="11">
                  <c:v>9695000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65-4F3C-A0ED-D7DACBF45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0573408"/>
        <c:axId val="81614098"/>
      </c:lineChart>
      <c:catAx>
        <c:axId val="50573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14098"/>
        <c:crosses val="autoZero"/>
        <c:auto val="1"/>
        <c:lblAlgn val="ctr"/>
        <c:lblOffset val="100"/>
        <c:noMultiLvlLbl val="0"/>
      </c:catAx>
      <c:valAx>
        <c:axId val="81614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D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Revenue (Rp)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73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0" cap="sq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Calculations!$G$2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Calculations!$F$5:$F$12</c:f>
              <c:strCache>
                <c:ptCount val="8"/>
                <c:pt idx="0">
                  <c:v>Ballpoint Pen</c:v>
                </c:pt>
                <c:pt idx="1">
                  <c:v>Correction Tape</c:v>
                </c:pt>
                <c:pt idx="2">
                  <c:v>Eraser</c:v>
                </c:pt>
                <c:pt idx="3">
                  <c:v>Highlighter</c:v>
                </c:pt>
                <c:pt idx="4">
                  <c:v>Notebook</c:v>
                </c:pt>
                <c:pt idx="5">
                  <c:v>Pencil</c:v>
                </c:pt>
                <c:pt idx="6">
                  <c:v>Ruler</c:v>
                </c:pt>
                <c:pt idx="7">
                  <c:v>Sticky Notes</c:v>
                </c:pt>
              </c:strCache>
            </c:strRef>
          </c:cat>
          <c:val>
            <c:numRef>
              <c:f>Calculations!$G$5:$G$12</c:f>
              <c:numCache>
                <c:formatCode>_-[$Rp-3809]* #,##0.00_-;\-[$Rp-3809]* #,##0.00_-;_-[$Rp-3809]* \-??_-;_-@_-</c:formatCode>
                <c:ptCount val="8"/>
                <c:pt idx="0">
                  <c:v>14165000</c:v>
                </c:pt>
                <c:pt idx="1">
                  <c:v>10206000</c:v>
                </c:pt>
                <c:pt idx="2">
                  <c:v>6636000</c:v>
                </c:pt>
                <c:pt idx="3">
                  <c:v>11304000</c:v>
                </c:pt>
                <c:pt idx="4">
                  <c:v>29550000</c:v>
                </c:pt>
                <c:pt idx="5">
                  <c:v>7794000</c:v>
                </c:pt>
                <c:pt idx="6">
                  <c:v>7259000</c:v>
                </c:pt>
                <c:pt idx="7">
                  <c:v>12750000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D-495F-8577-A06800A52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936154"/>
        <c:axId val="70873926"/>
      </c:barChart>
      <c:catAx>
        <c:axId val="9393615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73926"/>
        <c:crosses val="autoZero"/>
        <c:auto val="1"/>
        <c:lblAlgn val="ctr"/>
        <c:lblOffset val="100"/>
        <c:noMultiLvlLbl val="0"/>
      </c:catAx>
      <c:valAx>
        <c:axId val="7087392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936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Calculations!$J$2</c:f>
              <c:strCache>
                <c:ptCount val="1"/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Calculations!$I$5:$I$7</c:f>
              <c:strCache>
                <c:ptCount val="3"/>
                <c:pt idx="0">
                  <c:v>Bandung</c:v>
                </c:pt>
                <c:pt idx="1">
                  <c:v>Jakarta</c:v>
                </c:pt>
                <c:pt idx="2">
                  <c:v>Surabaya</c:v>
                </c:pt>
              </c:strCache>
            </c:strRef>
          </c:cat>
          <c:val>
            <c:numRef>
              <c:f>Calculations!$J$5:$J$7</c:f>
              <c:numCache>
                <c:formatCode>_-[$Rp-3809]* #,##0.00_-;\-[$Rp-3809]* #,##0.00_-;_-[$Rp-3809]* \-??_-;_-@_-</c:formatCode>
                <c:ptCount val="3"/>
                <c:pt idx="0">
                  <c:v>33140000</c:v>
                </c:pt>
                <c:pt idx="1">
                  <c:v>40817000</c:v>
                </c:pt>
                <c:pt idx="2">
                  <c:v>25707000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2-4F0C-AA0A-1AD54155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2984"/>
        <c:axId val="80555495"/>
      </c:barChart>
      <c:catAx>
        <c:axId val="11342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55495"/>
        <c:crosses val="autoZero"/>
        <c:auto val="1"/>
        <c:lblAlgn val="ctr"/>
        <c:lblOffset val="100"/>
        <c:noMultiLvlLbl val="0"/>
      </c:catAx>
      <c:valAx>
        <c:axId val="805554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42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Calculations!$M$2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FC0-4440-A305-355E71EB5A1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FC0-4440-A305-355E71EB5A1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FC0-4440-A305-355E71EB5A1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C0-4440-A305-355E71EB5A1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C0-4440-A305-355E71EB5A1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C0-4440-A305-355E71EB5A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Calculations!$L$5:$L$7</c:f>
              <c:strCache>
                <c:ptCount val="3"/>
                <c:pt idx="0">
                  <c:v>Accessories</c:v>
                </c:pt>
                <c:pt idx="1">
                  <c:v>Paper Products</c:v>
                </c:pt>
                <c:pt idx="2">
                  <c:v>Writing Tools</c:v>
                </c:pt>
              </c:strCache>
            </c:strRef>
          </c:cat>
          <c:val>
            <c:numRef>
              <c:f>Calculations!$M$5:$M$7</c:f>
              <c:numCache>
                <c:formatCode>_-[$Rp-3809]* #,##0.00_-;\-[$Rp-3809]* #,##0.00_-;_-[$Rp-3809]* \-??_-;_-@_-</c:formatCode>
                <c:ptCount val="3"/>
                <c:pt idx="0">
                  <c:v>24101000</c:v>
                </c:pt>
                <c:pt idx="1">
                  <c:v>42300000</c:v>
                </c:pt>
                <c:pt idx="2">
                  <c:v>33263000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0-4440-A305-355E71EB5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31680</xdr:rowOff>
    </xdr:from>
    <xdr:to>
      <xdr:col>6</xdr:col>
      <xdr:colOff>744480</xdr:colOff>
      <xdr:row>23</xdr:row>
      <xdr:rowOff>159840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3960</xdr:colOff>
      <xdr:row>10</xdr:row>
      <xdr:rowOff>32040</xdr:rowOff>
    </xdr:from>
    <xdr:to>
      <xdr:col>14</xdr:col>
      <xdr:colOff>734760</xdr:colOff>
      <xdr:row>23</xdr:row>
      <xdr:rowOff>138960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112680</xdr:rowOff>
    </xdr:from>
    <xdr:to>
      <xdr:col>6</xdr:col>
      <xdr:colOff>694800</xdr:colOff>
      <xdr:row>40</xdr:row>
      <xdr:rowOff>113400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749880</xdr:colOff>
      <xdr:row>27</xdr:row>
      <xdr:rowOff>43560</xdr:rowOff>
    </xdr:from>
    <xdr:to>
      <xdr:col>14</xdr:col>
      <xdr:colOff>734760</xdr:colOff>
      <xdr:row>40</xdr:row>
      <xdr:rowOff>94320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4"/>
  <sheetViews>
    <sheetView showGridLines="0" tabSelected="1" zoomScale="91" zoomScaleNormal="91" workbookViewId="0">
      <selection activeCell="R7" sqref="R7"/>
    </sheetView>
  </sheetViews>
  <sheetFormatPr defaultColWidth="8.6640625" defaultRowHeight="14.4" x14ac:dyDescent="0.3"/>
  <cols>
    <col min="1" max="1" width="4" customWidth="1"/>
    <col min="2" max="14" width="14" customWidth="1"/>
    <col min="15" max="15" width="4" customWidth="1"/>
  </cols>
  <sheetData>
    <row r="1" spans="1:15" ht="15" customHeight="1" x14ac:dyDescent="0.3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5" ht="28.5" customHeight="1" x14ac:dyDescent="0.3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4" spans="1:15" ht="15" customHeight="1" x14ac:dyDescent="0.3">
      <c r="B4" s="99" t="s">
        <v>1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</row>
    <row r="6" spans="1:15" ht="18" customHeight="1" x14ac:dyDescent="0.3">
      <c r="B6" s="100" t="s">
        <v>2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</row>
    <row r="7" spans="1:15" ht="15" customHeight="1" x14ac:dyDescent="0.3">
      <c r="B7" s="101" t="s">
        <v>3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</row>
    <row r="9" spans="1:15" ht="3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1" spans="1:15" ht="15" customHeight="1" x14ac:dyDescent="0.3">
      <c r="B11" s="102" t="s">
        <v>4</v>
      </c>
      <c r="C11" s="102"/>
      <c r="D11" s="102"/>
      <c r="E11" s="102"/>
      <c r="G11" s="102" t="s">
        <v>5</v>
      </c>
      <c r="H11" s="102"/>
      <c r="I11" s="102"/>
      <c r="J11" s="102"/>
      <c r="L11" s="102" t="s">
        <v>6</v>
      </c>
      <c r="M11" s="102"/>
      <c r="N11" s="102"/>
    </row>
    <row r="12" spans="1:15" ht="15" customHeight="1" x14ac:dyDescent="0.3">
      <c r="B12" s="105">
        <f>Summary!B6</f>
        <v>99664000</v>
      </c>
      <c r="C12" s="105"/>
      <c r="D12" s="105"/>
      <c r="E12" s="105"/>
      <c r="G12" s="106">
        <f>Summary!B8</f>
        <v>0.38813212393642638</v>
      </c>
      <c r="H12" s="106"/>
      <c r="I12" s="106"/>
      <c r="J12" s="106"/>
      <c r="L12" s="107" t="str">
        <f>"+"&amp;TEXT('Monthly Analysis'!H16-1,"0%")</f>
        <v>+40%</v>
      </c>
      <c r="M12" s="107"/>
      <c r="N12" s="107"/>
    </row>
    <row r="13" spans="1:15" ht="15" customHeight="1" x14ac:dyDescent="0.3">
      <c r="B13" s="105"/>
      <c r="C13" s="105"/>
      <c r="D13" s="105"/>
      <c r="E13" s="105"/>
      <c r="G13" s="106"/>
      <c r="H13" s="106"/>
      <c r="I13" s="106"/>
      <c r="J13" s="106"/>
      <c r="L13" s="107"/>
      <c r="M13" s="107"/>
      <c r="N13" s="107"/>
    </row>
    <row r="16" spans="1:15" ht="15" customHeight="1" x14ac:dyDescent="0.3">
      <c r="B16" s="108" t="s">
        <v>7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</row>
    <row r="17" spans="2:14" ht="15" customHeight="1" x14ac:dyDescent="0.3">
      <c r="B17" s="103" t="s">
        <v>8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</row>
    <row r="18" spans="2:14" ht="15" customHeight="1" x14ac:dyDescent="0.3"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</row>
    <row r="19" spans="2:14" ht="15" customHeight="1" x14ac:dyDescent="0.3">
      <c r="B19" s="103" t="s">
        <v>9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</row>
    <row r="20" spans="2:14" ht="15" customHeight="1" x14ac:dyDescent="0.3"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2:14" ht="15" customHeight="1" x14ac:dyDescent="0.3">
      <c r="B21" s="103" t="s">
        <v>10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2" spans="2:14" ht="15" customHeight="1" x14ac:dyDescent="0.3"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</row>
    <row r="24" spans="2:14" ht="15" customHeight="1" x14ac:dyDescent="0.3">
      <c r="B24" s="104" t="s">
        <v>11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</sheetData>
  <sheetProtection sheet="1" objects="1" scenarios="1"/>
  <mergeCells count="15">
    <mergeCell ref="B19:N20"/>
    <mergeCell ref="B21:N22"/>
    <mergeCell ref="B24:N24"/>
    <mergeCell ref="B12:E13"/>
    <mergeCell ref="G12:J13"/>
    <mergeCell ref="L12:N13"/>
    <mergeCell ref="B16:N16"/>
    <mergeCell ref="B17:N18"/>
    <mergeCell ref="A1:O2"/>
    <mergeCell ref="B4:N4"/>
    <mergeCell ref="B6:N6"/>
    <mergeCell ref="B7:N7"/>
    <mergeCell ref="B11:E11"/>
    <mergeCell ref="G11:J11"/>
    <mergeCell ref="L11:N11"/>
  </mergeCells>
  <pageMargins left="0.75" right="0.75" top="1" bottom="1" header="0.511811023622047" footer="0.51180555555555596"/>
  <pageSetup scale="63" orientation="landscape" horizontalDpi="300" verticalDpi="300" r:id="rId1"/>
  <headerFooter>
    <oddFooter>&amp;L&amp;8 &amp;K666666Rifal Azhar Permana | Sales Performance Portfolio&amp;R&amp;8 &amp;K666666Page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7"/>
  <sheetViews>
    <sheetView topLeftCell="A22" zoomScale="99" zoomScaleNormal="99" workbookViewId="0">
      <selection activeCell="R9" sqref="R9"/>
    </sheetView>
  </sheetViews>
  <sheetFormatPr defaultColWidth="8.6640625" defaultRowHeight="14.4" x14ac:dyDescent="0.3"/>
  <cols>
    <col min="1" max="1" width="11" customWidth="1"/>
    <col min="2" max="2" width="13.21875" customWidth="1"/>
    <col min="3" max="4" width="11" customWidth="1"/>
    <col min="5" max="5" width="7.77734375" customWidth="1"/>
    <col min="6" max="6" width="12.88671875" customWidth="1"/>
    <col min="7" max="15" width="11" customWidth="1"/>
  </cols>
  <sheetData>
    <row r="1" spans="1:15" ht="19.5" customHeight="1" x14ac:dyDescent="0.3">
      <c r="A1" s="109" t="s">
        <v>12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</row>
    <row r="2" spans="1:15" ht="14.25" customHeight="1" x14ac:dyDescent="0.3">
      <c r="A2" s="110" t="s">
        <v>13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</row>
    <row r="3" spans="1:15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25" customHeight="1" x14ac:dyDescent="0.3">
      <c r="E4" s="3" t="s">
        <v>14</v>
      </c>
      <c r="F4" s="4" t="s">
        <v>15</v>
      </c>
      <c r="H4" s="111" t="s">
        <v>16</v>
      </c>
      <c r="I4" s="111"/>
      <c r="J4" s="111"/>
      <c r="K4" s="111"/>
    </row>
    <row r="6" spans="1:15" ht="14.25" customHeight="1" x14ac:dyDescent="0.3">
      <c r="A6" s="112" t="s">
        <v>4</v>
      </c>
      <c r="B6" s="112"/>
      <c r="C6" s="112"/>
      <c r="D6" s="112" t="s">
        <v>17</v>
      </c>
      <c r="E6" s="112"/>
      <c r="F6" s="112"/>
      <c r="G6" s="112" t="s">
        <v>5</v>
      </c>
      <c r="H6" s="112"/>
      <c r="I6" s="112"/>
      <c r="J6" s="112" t="s">
        <v>18</v>
      </c>
      <c r="K6" s="112"/>
      <c r="L6" s="112"/>
      <c r="M6" s="112" t="s">
        <v>19</v>
      </c>
      <c r="N6" s="112"/>
      <c r="O6" s="112"/>
    </row>
    <row r="7" spans="1:15" ht="14.25" customHeight="1" x14ac:dyDescent="0.3">
      <c r="A7" s="113">
        <f>IF($F$4="All Branches",SUM('Raw Data'!$K$5:$K$292),SUMIFS('Raw Data'!$K$5:$K$292,'Raw Data'!$A$5:$A$292,$F$4))</f>
        <v>99664000</v>
      </c>
      <c r="B7" s="113"/>
      <c r="C7" s="113"/>
      <c r="D7" s="113">
        <f>IF($F$4="All Branches",SUM('Raw Data'!$M$5:$M$292),SUMIFS('Raw Data'!$M$5:$M$292,'Raw Data'!$A$5:$A$292,$F$4))</f>
        <v>38682800</v>
      </c>
      <c r="E7" s="113"/>
      <c r="F7" s="113"/>
      <c r="G7" s="114">
        <f>IFERROR(D7/A7,0)</f>
        <v>0.38813212393642638</v>
      </c>
      <c r="H7" s="114"/>
      <c r="I7" s="114"/>
      <c r="J7" s="113">
        <f>IF($F$4="All Branches",SUM('Raw Data'!$E$5:$E$292),SUMIFS('Raw Data'!$E$5:$E$292,'Raw Data'!$A$5:$A$292,$F$4))</f>
        <v>12235</v>
      </c>
      <c r="K7" s="113"/>
      <c r="L7" s="113"/>
      <c r="M7" s="113">
        <f>IFERROR(A7/COUNTA('Raw Data'!$A$5:$A$292),0)</f>
        <v>346055.55555555556</v>
      </c>
      <c r="N7" s="113"/>
      <c r="O7" s="113"/>
    </row>
    <row r="8" spans="1:15" ht="14.25" customHeight="1" x14ac:dyDescent="0.3">
      <c r="A8" s="113"/>
      <c r="B8" s="113"/>
      <c r="C8" s="113"/>
      <c r="D8" s="113"/>
      <c r="E8" s="113"/>
      <c r="F8" s="113"/>
      <c r="G8" s="114"/>
      <c r="H8" s="114"/>
      <c r="I8" s="114"/>
      <c r="J8" s="113"/>
      <c r="K8" s="113"/>
      <c r="L8" s="113"/>
      <c r="M8" s="113"/>
      <c r="N8" s="113"/>
      <c r="O8" s="113"/>
    </row>
    <row r="10" spans="1:15" ht="14.25" customHeight="1" x14ac:dyDescent="0.3">
      <c r="A10" s="116" t="s">
        <v>20</v>
      </c>
      <c r="B10" s="116"/>
      <c r="C10" s="116"/>
      <c r="D10" s="116"/>
      <c r="E10" s="116"/>
      <c r="F10" s="116"/>
      <c r="G10" s="116"/>
      <c r="I10" s="117" t="s">
        <v>21</v>
      </c>
      <c r="J10" s="117"/>
      <c r="K10" s="117"/>
      <c r="L10" s="117"/>
      <c r="M10" s="117"/>
      <c r="N10" s="117"/>
      <c r="O10" s="117"/>
    </row>
    <row r="11" spans="1:15" ht="14.25" customHeight="1" x14ac:dyDescent="0.3">
      <c r="A11" s="5"/>
      <c r="B11" s="5"/>
      <c r="C11" s="5"/>
      <c r="D11" s="5"/>
      <c r="E11" s="5"/>
      <c r="F11" s="5"/>
      <c r="G11" s="5"/>
    </row>
    <row r="27" spans="1:15" ht="14.25" customHeight="1" x14ac:dyDescent="0.3">
      <c r="A27" s="117" t="s">
        <v>22</v>
      </c>
      <c r="B27" s="117"/>
      <c r="C27" s="117"/>
      <c r="D27" s="117"/>
      <c r="E27" s="117"/>
      <c r="F27" s="117"/>
      <c r="G27" s="117"/>
      <c r="I27" s="117" t="s">
        <v>23</v>
      </c>
      <c r="J27" s="117"/>
      <c r="K27" s="117"/>
      <c r="L27" s="117"/>
      <c r="M27" s="117"/>
      <c r="N27" s="117"/>
      <c r="O27" s="117"/>
    </row>
    <row r="45" spans="1:15" ht="14.25" customHeight="1" x14ac:dyDescent="0.3">
      <c r="A45" s="117" t="s">
        <v>24</v>
      </c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</row>
    <row r="46" spans="1:15" ht="14.25" customHeight="1" x14ac:dyDescent="0.3">
      <c r="A46" s="115" t="s">
        <v>25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</row>
    <row r="47" spans="1:15" ht="14.25" customHeight="1" x14ac:dyDescent="0.3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</row>
  </sheetData>
  <sheetProtection sheet="1" objects="1" scenarios="1"/>
  <mergeCells count="19">
    <mergeCell ref="A46:O47"/>
    <mergeCell ref="A10:G10"/>
    <mergeCell ref="I10:O10"/>
    <mergeCell ref="A27:G27"/>
    <mergeCell ref="I27:O27"/>
    <mergeCell ref="A45:O45"/>
    <mergeCell ref="A7:C8"/>
    <mergeCell ref="D7:F8"/>
    <mergeCell ref="G7:I8"/>
    <mergeCell ref="J7:L8"/>
    <mergeCell ref="M7:O8"/>
    <mergeCell ref="A1:O1"/>
    <mergeCell ref="A2:O2"/>
    <mergeCell ref="H4:K4"/>
    <mergeCell ref="A6:C6"/>
    <mergeCell ref="D6:F6"/>
    <mergeCell ref="G6:I6"/>
    <mergeCell ref="J6:L6"/>
    <mergeCell ref="M6:O6"/>
  </mergeCells>
  <dataValidations count="1">
    <dataValidation type="list" showInputMessage="1" showErrorMessage="1" errorTitle="Cabang tidak valid" error="Pilih dari daftar: All Branches, Bandung, Jakarta, atau Surabaya" promptTitle="Filter Cabang" prompt="Pilih cabang untuk memfilter KPI dan chart" sqref="F4" xr:uid="{00000000-0002-0000-0100-000000000000}">
      <formula1>"All Branches,Bandung,Jakarta,Surabaya"</formula1>
      <formula2>0</formula2>
    </dataValidation>
  </dataValidations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0"/>
  <sheetViews>
    <sheetView showGridLines="0" zoomScale="85" zoomScaleNormal="85" workbookViewId="0">
      <selection activeCell="R7" sqref="A1:XFD1048576"/>
    </sheetView>
  </sheetViews>
  <sheetFormatPr defaultColWidth="8.6640625" defaultRowHeight="14.4" x14ac:dyDescent="0.3"/>
  <cols>
    <col min="1" max="1" width="19.109375" customWidth="1"/>
    <col min="2" max="5" width="22" customWidth="1"/>
    <col min="6" max="6" width="14.6640625" customWidth="1"/>
    <col min="7" max="8" width="22" customWidth="1"/>
  </cols>
  <sheetData>
    <row r="1" spans="1:8" ht="33" customHeight="1" x14ac:dyDescent="0.3">
      <c r="A1" s="118" t="s">
        <v>26</v>
      </c>
      <c r="B1" s="118"/>
      <c r="C1" s="118"/>
      <c r="D1" s="118"/>
      <c r="E1" s="118"/>
      <c r="F1" s="118"/>
      <c r="G1" s="118"/>
      <c r="H1" s="118"/>
    </row>
    <row r="2" spans="1:8" ht="15" customHeight="1" x14ac:dyDescent="0.3">
      <c r="A2" s="119" t="s">
        <v>27</v>
      </c>
      <c r="B2" s="119"/>
      <c r="C2" s="119"/>
      <c r="D2" s="119"/>
      <c r="E2" s="119"/>
      <c r="F2" s="119"/>
      <c r="G2" s="119"/>
      <c r="H2" s="119"/>
    </row>
    <row r="3" spans="1:8" ht="14.25" customHeight="1" x14ac:dyDescent="0.3">
      <c r="A3" s="119"/>
      <c r="B3" s="119"/>
      <c r="C3" s="119"/>
      <c r="D3" s="119"/>
      <c r="E3" s="119"/>
      <c r="F3" s="119"/>
      <c r="G3" s="119"/>
      <c r="H3" s="119"/>
    </row>
    <row r="4" spans="1:8" ht="14.25" customHeight="1" x14ac:dyDescent="0.3">
      <c r="A4" s="108" t="s">
        <v>28</v>
      </c>
      <c r="B4" s="108"/>
      <c r="C4" s="108"/>
      <c r="D4" s="108"/>
      <c r="E4" s="108"/>
      <c r="F4" s="108"/>
      <c r="G4" s="108"/>
      <c r="H4" s="108"/>
    </row>
    <row r="5" spans="1:8" ht="14.25" customHeight="1" x14ac:dyDescent="0.3">
      <c r="A5" s="120" t="s">
        <v>29</v>
      </c>
      <c r="B5" s="120"/>
      <c r="C5" s="120"/>
      <c r="D5" s="120"/>
      <c r="E5" s="120"/>
      <c r="F5" s="120"/>
      <c r="G5" s="120"/>
      <c r="H5" s="120"/>
    </row>
    <row r="6" spans="1:8" ht="14.25" customHeight="1" x14ac:dyDescent="0.3">
      <c r="A6" s="120"/>
      <c r="B6" s="120"/>
      <c r="C6" s="120"/>
      <c r="D6" s="120"/>
      <c r="E6" s="120"/>
      <c r="F6" s="120"/>
      <c r="G6" s="120"/>
      <c r="H6" s="120"/>
    </row>
    <row r="7" spans="1:8" ht="14.25" customHeight="1" x14ac:dyDescent="0.3">
      <c r="A7" s="120"/>
      <c r="B7" s="120"/>
      <c r="C7" s="120"/>
      <c r="D7" s="120"/>
      <c r="E7" s="120"/>
      <c r="F7" s="120"/>
      <c r="G7" s="120"/>
      <c r="H7" s="120"/>
    </row>
    <row r="9" spans="1:8" ht="14.25" customHeight="1" x14ac:dyDescent="0.3">
      <c r="A9" s="121" t="s">
        <v>30</v>
      </c>
      <c r="B9" s="121"/>
      <c r="C9" s="121"/>
      <c r="D9" s="121"/>
      <c r="F9" s="121" t="s">
        <v>31</v>
      </c>
      <c r="G9" s="121"/>
      <c r="H9" s="121"/>
    </row>
    <row r="10" spans="1:8" ht="27.75" customHeight="1" x14ac:dyDescent="0.3">
      <c r="A10" s="6" t="s">
        <v>32</v>
      </c>
      <c r="B10" s="122" t="s">
        <v>33</v>
      </c>
      <c r="C10" s="122"/>
      <c r="D10" s="122"/>
      <c r="F10" s="6" t="s">
        <v>34</v>
      </c>
      <c r="G10" s="123" t="s">
        <v>35</v>
      </c>
      <c r="H10" s="123"/>
    </row>
    <row r="11" spans="1:8" ht="14.25" customHeight="1" x14ac:dyDescent="0.3">
      <c r="A11" s="7" t="s">
        <v>36</v>
      </c>
      <c r="B11" s="124" t="s">
        <v>37</v>
      </c>
      <c r="C11" s="124"/>
      <c r="D11" s="124"/>
      <c r="F11" s="7" t="s">
        <v>38</v>
      </c>
      <c r="G11" s="125" t="s">
        <v>39</v>
      </c>
      <c r="H11" s="125"/>
    </row>
    <row r="12" spans="1:8" ht="14.25" customHeight="1" x14ac:dyDescent="0.3">
      <c r="A12" s="7" t="s">
        <v>40</v>
      </c>
      <c r="B12" s="124" t="s">
        <v>41</v>
      </c>
      <c r="C12" s="124"/>
      <c r="D12" s="124"/>
      <c r="F12" s="7" t="s">
        <v>32</v>
      </c>
      <c r="G12" s="125" t="s">
        <v>42</v>
      </c>
      <c r="H12" s="125"/>
    </row>
    <row r="13" spans="1:8" ht="14.25" customHeight="1" x14ac:dyDescent="0.3">
      <c r="A13" s="7" t="s">
        <v>43</v>
      </c>
      <c r="B13" s="124" t="s">
        <v>44</v>
      </c>
      <c r="C13" s="124"/>
      <c r="D13" s="124"/>
    </row>
    <row r="14" spans="1:8" ht="14.25" customHeight="1" x14ac:dyDescent="0.3">
      <c r="A14" s="7" t="s">
        <v>45</v>
      </c>
      <c r="B14" s="124" t="s">
        <v>46</v>
      </c>
      <c r="C14" s="124"/>
      <c r="D14" s="124"/>
    </row>
    <row r="15" spans="1:8" ht="14.25" customHeight="1" x14ac:dyDescent="0.3">
      <c r="A15" s="7" t="s">
        <v>47</v>
      </c>
      <c r="B15" s="124" t="s">
        <v>48</v>
      </c>
      <c r="C15" s="124"/>
      <c r="D15" s="124"/>
    </row>
    <row r="16" spans="1:8" ht="14.25" customHeight="1" x14ac:dyDescent="0.3">
      <c r="A16" s="7" t="s">
        <v>49</v>
      </c>
      <c r="B16" s="124" t="s">
        <v>50</v>
      </c>
      <c r="C16" s="124"/>
      <c r="D16" s="124"/>
    </row>
    <row r="17" spans="1:8" ht="14.25" customHeight="1" x14ac:dyDescent="0.3">
      <c r="A17" s="7" t="s">
        <v>51</v>
      </c>
      <c r="B17" s="124" t="s">
        <v>52</v>
      </c>
      <c r="C17" s="124"/>
      <c r="D17" s="124"/>
    </row>
    <row r="20" spans="1:8" ht="14.25" customHeight="1" x14ac:dyDescent="0.3">
      <c r="A20" s="126" t="s">
        <v>53</v>
      </c>
      <c r="B20" s="126"/>
      <c r="C20" s="126"/>
      <c r="D20" s="126"/>
      <c r="E20" s="126"/>
      <c r="F20" s="126"/>
      <c r="G20" s="126"/>
      <c r="H20" s="126"/>
    </row>
    <row r="21" spans="1:8" ht="14.25" customHeight="1" x14ac:dyDescent="0.3">
      <c r="A21" s="126"/>
      <c r="B21" s="126"/>
      <c r="C21" s="126"/>
      <c r="D21" s="126"/>
      <c r="E21" s="126"/>
      <c r="F21" s="126"/>
      <c r="G21" s="126"/>
      <c r="H21" s="126"/>
    </row>
    <row r="22" spans="1:8" ht="14.25" customHeight="1" x14ac:dyDescent="0.3">
      <c r="A22" s="127" t="s">
        <v>54</v>
      </c>
      <c r="B22" s="127"/>
      <c r="C22" s="127"/>
      <c r="D22" s="127"/>
      <c r="E22" s="127"/>
      <c r="F22" s="127"/>
      <c r="G22" s="127"/>
      <c r="H22" s="127"/>
    </row>
    <row r="23" spans="1:8" ht="14.25" customHeight="1" x14ac:dyDescent="0.3">
      <c r="A23" s="96" t="s">
        <v>55</v>
      </c>
      <c r="B23" s="96"/>
      <c r="C23" s="96"/>
      <c r="D23" s="96"/>
      <c r="E23" s="96"/>
      <c r="F23" s="96"/>
      <c r="G23" s="96"/>
      <c r="H23" s="96"/>
    </row>
    <row r="24" spans="1:8" ht="14.25" customHeight="1" x14ac:dyDescent="0.3">
      <c r="A24" s="96"/>
      <c r="B24" s="96"/>
      <c r="C24" s="96"/>
      <c r="D24" s="96"/>
      <c r="E24" s="96"/>
      <c r="F24" s="96"/>
      <c r="G24" s="96"/>
      <c r="H24" s="96"/>
    </row>
    <row r="25" spans="1:8" ht="14.25" customHeight="1" x14ac:dyDescent="0.3">
      <c r="A25" s="96" t="s">
        <v>56</v>
      </c>
      <c r="B25" s="96"/>
      <c r="C25" s="96"/>
      <c r="D25" s="96"/>
      <c r="E25" s="96"/>
      <c r="F25" s="96"/>
      <c r="G25" s="96"/>
      <c r="H25" s="96"/>
    </row>
    <row r="26" spans="1:8" ht="14.25" customHeight="1" x14ac:dyDescent="0.3">
      <c r="A26" s="96"/>
      <c r="B26" s="96"/>
      <c r="C26" s="96"/>
      <c r="D26" s="96"/>
      <c r="E26" s="96"/>
      <c r="F26" s="96"/>
      <c r="G26" s="96"/>
      <c r="H26" s="96"/>
    </row>
    <row r="27" spans="1:8" ht="14.25" customHeight="1" x14ac:dyDescent="0.3">
      <c r="A27" s="96" t="s">
        <v>57</v>
      </c>
      <c r="B27" s="96"/>
      <c r="C27" s="96"/>
      <c r="D27" s="96"/>
      <c r="E27" s="96"/>
      <c r="F27" s="96"/>
      <c r="G27" s="96"/>
      <c r="H27" s="96"/>
    </row>
    <row r="28" spans="1:8" ht="14.25" customHeight="1" x14ac:dyDescent="0.3">
      <c r="A28" s="96"/>
      <c r="B28" s="96"/>
      <c r="C28" s="96"/>
      <c r="D28" s="96"/>
      <c r="E28" s="96"/>
      <c r="F28" s="96"/>
      <c r="G28" s="96"/>
      <c r="H28" s="96"/>
    </row>
    <row r="29" spans="1:8" ht="14.25" customHeight="1" x14ac:dyDescent="0.3">
      <c r="A29" s="96" t="s">
        <v>58</v>
      </c>
      <c r="B29" s="96"/>
      <c r="C29" s="96"/>
      <c r="D29" s="96"/>
      <c r="E29" s="96"/>
      <c r="F29" s="96"/>
      <c r="G29" s="96"/>
      <c r="H29" s="96"/>
    </row>
    <row r="30" spans="1:8" ht="14.25" customHeight="1" x14ac:dyDescent="0.3">
      <c r="A30" s="96"/>
      <c r="B30" s="96"/>
      <c r="C30" s="96"/>
      <c r="D30" s="96"/>
      <c r="E30" s="96"/>
      <c r="F30" s="96"/>
      <c r="G30" s="96"/>
      <c r="H30" s="96"/>
    </row>
  </sheetData>
  <sheetProtection sheet="1" objects="1" scenarios="1"/>
  <mergeCells count="23">
    <mergeCell ref="A29:H30"/>
    <mergeCell ref="A20:H21"/>
    <mergeCell ref="A22:H22"/>
    <mergeCell ref="A23:H24"/>
    <mergeCell ref="A25:H26"/>
    <mergeCell ref="A27:H28"/>
    <mergeCell ref="B13:D13"/>
    <mergeCell ref="B14:D14"/>
    <mergeCell ref="B15:D15"/>
    <mergeCell ref="B16:D16"/>
    <mergeCell ref="B17:D17"/>
    <mergeCell ref="B10:D10"/>
    <mergeCell ref="G10:H10"/>
    <mergeCell ref="B11:D11"/>
    <mergeCell ref="G11:H11"/>
    <mergeCell ref="B12:D12"/>
    <mergeCell ref="G12:H12"/>
    <mergeCell ref="A1:H1"/>
    <mergeCell ref="A2:H3"/>
    <mergeCell ref="A4:H4"/>
    <mergeCell ref="A5:H7"/>
    <mergeCell ref="A9:D9"/>
    <mergeCell ref="F9:H9"/>
  </mergeCells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92"/>
  <sheetViews>
    <sheetView showGridLines="0" zoomScale="85" zoomScaleNormal="85" workbookViewId="0">
      <selection activeCell="A2" sqref="A2:N3"/>
    </sheetView>
  </sheetViews>
  <sheetFormatPr defaultColWidth="8.6640625" defaultRowHeight="14.4" x14ac:dyDescent="0.3"/>
  <cols>
    <col min="1" max="1" width="10.88671875" customWidth="1"/>
    <col min="2" max="2" width="14.21875" customWidth="1"/>
    <col min="3" max="3" width="13.33203125" customWidth="1"/>
    <col min="4" max="4" width="10.77734375" customWidth="1"/>
    <col min="5" max="5" width="13.33203125" style="8" customWidth="1"/>
    <col min="6" max="6" width="16.77734375" style="9" customWidth="1"/>
    <col min="7" max="7" width="16.33203125" style="9" customWidth="1"/>
    <col min="8" max="8" width="14.109375" customWidth="1"/>
    <col min="9" max="9" width="26.21875" customWidth="1"/>
    <col min="10" max="10" width="14" style="8" customWidth="1"/>
    <col min="11" max="11" width="16.109375" style="9" customWidth="1"/>
    <col min="12" max="12" width="13.5546875" style="9" customWidth="1"/>
    <col min="13" max="13" width="18.44140625" style="9" customWidth="1"/>
    <col min="14" max="14" width="15.88671875" customWidth="1"/>
  </cols>
  <sheetData>
    <row r="1" spans="1:14" ht="27" customHeight="1" x14ac:dyDescent="0.3">
      <c r="A1" s="128" t="s">
        <v>59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14.25" customHeight="1" x14ac:dyDescent="0.3">
      <c r="A2" s="129" t="s">
        <v>60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x14ac:dyDescent="0.3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4" ht="14.25" customHeight="1" x14ac:dyDescent="0.3">
      <c r="A4" s="10" t="s">
        <v>14</v>
      </c>
      <c r="B4" s="10" t="s">
        <v>61</v>
      </c>
      <c r="C4" s="10" t="s">
        <v>62</v>
      </c>
      <c r="D4" s="10" t="s">
        <v>63</v>
      </c>
      <c r="E4" s="10" t="s">
        <v>64</v>
      </c>
      <c r="F4" s="11" t="s">
        <v>65</v>
      </c>
      <c r="G4" s="11" t="s">
        <v>66</v>
      </c>
      <c r="H4" s="10" t="s">
        <v>67</v>
      </c>
      <c r="I4" s="10" t="s">
        <v>68</v>
      </c>
      <c r="J4" s="10" t="s">
        <v>69</v>
      </c>
      <c r="K4" s="11" t="s">
        <v>70</v>
      </c>
      <c r="L4" s="11" t="s">
        <v>71</v>
      </c>
      <c r="M4" s="11" t="s">
        <v>72</v>
      </c>
      <c r="N4" s="10" t="s">
        <v>73</v>
      </c>
    </row>
    <row r="5" spans="1:14" ht="14.25" customHeight="1" x14ac:dyDescent="0.3">
      <c r="A5" s="12" t="s">
        <v>74</v>
      </c>
      <c r="B5" s="12" t="s">
        <v>75</v>
      </c>
      <c r="C5" s="12" t="s">
        <v>76</v>
      </c>
      <c r="D5" s="12" t="s">
        <v>77</v>
      </c>
      <c r="E5" s="13">
        <v>26</v>
      </c>
      <c r="F5" s="14">
        <v>25000</v>
      </c>
      <c r="G5" s="14">
        <v>17000</v>
      </c>
      <c r="H5" s="12" t="s">
        <v>78</v>
      </c>
      <c r="I5" s="12" t="s">
        <v>79</v>
      </c>
      <c r="J5" s="15">
        <f>MATCH(D5,Calculations!$A$5:$A$16,0)</f>
        <v>1</v>
      </c>
      <c r="K5" s="14">
        <f t="shared" ref="K5:K68" si="0">E5*F5</f>
        <v>650000</v>
      </c>
      <c r="L5" s="14">
        <f t="shared" ref="L5:L68" si="1">E5*G5</f>
        <v>442000</v>
      </c>
      <c r="M5" s="14">
        <f t="shared" ref="M5:M68" si="2">K5-L5</f>
        <v>208000</v>
      </c>
      <c r="N5" s="16">
        <f t="shared" ref="N5:N68" si="3">IFERROR(M5/K5,0)</f>
        <v>0.32</v>
      </c>
    </row>
    <row r="6" spans="1:14" ht="14.25" customHeight="1" x14ac:dyDescent="0.3">
      <c r="A6" s="17" t="s">
        <v>74</v>
      </c>
      <c r="B6" s="17" t="s">
        <v>75</v>
      </c>
      <c r="C6" s="17" t="s">
        <v>76</v>
      </c>
      <c r="D6" s="17" t="s">
        <v>80</v>
      </c>
      <c r="E6" s="18">
        <v>28</v>
      </c>
      <c r="F6" s="19">
        <v>25000</v>
      </c>
      <c r="G6" s="19">
        <v>17000</v>
      </c>
      <c r="H6" s="17" t="s">
        <v>81</v>
      </c>
      <c r="I6" s="17" t="s">
        <v>82</v>
      </c>
      <c r="J6" s="20">
        <f>MATCH(D6,Calculations!$A$5:$A$16,0)</f>
        <v>2</v>
      </c>
      <c r="K6" s="19">
        <f t="shared" si="0"/>
        <v>700000</v>
      </c>
      <c r="L6" s="19">
        <f t="shared" si="1"/>
        <v>476000</v>
      </c>
      <c r="M6" s="19">
        <f t="shared" si="2"/>
        <v>224000</v>
      </c>
      <c r="N6" s="21">
        <f t="shared" si="3"/>
        <v>0.32</v>
      </c>
    </row>
    <row r="7" spans="1:14" ht="14.25" customHeight="1" x14ac:dyDescent="0.3">
      <c r="A7" s="12" t="s">
        <v>74</v>
      </c>
      <c r="B7" s="12" t="s">
        <v>75</v>
      </c>
      <c r="C7" s="12" t="s">
        <v>76</v>
      </c>
      <c r="D7" s="12" t="s">
        <v>83</v>
      </c>
      <c r="E7" s="13">
        <v>31</v>
      </c>
      <c r="F7" s="14">
        <v>25000</v>
      </c>
      <c r="G7" s="14">
        <v>17000</v>
      </c>
      <c r="H7" s="12" t="s">
        <v>78</v>
      </c>
      <c r="I7" s="12" t="s">
        <v>84</v>
      </c>
      <c r="J7" s="15">
        <f>MATCH(D7,Calculations!$A$5:$A$16,0)</f>
        <v>3</v>
      </c>
      <c r="K7" s="14">
        <f t="shared" si="0"/>
        <v>775000</v>
      </c>
      <c r="L7" s="14">
        <f t="shared" si="1"/>
        <v>527000</v>
      </c>
      <c r="M7" s="14">
        <f t="shared" si="2"/>
        <v>248000</v>
      </c>
      <c r="N7" s="16">
        <f t="shared" si="3"/>
        <v>0.32</v>
      </c>
    </row>
    <row r="8" spans="1:14" ht="14.25" customHeight="1" x14ac:dyDescent="0.3">
      <c r="A8" s="17" t="s">
        <v>74</v>
      </c>
      <c r="B8" s="17" t="s">
        <v>75</v>
      </c>
      <c r="C8" s="17" t="s">
        <v>76</v>
      </c>
      <c r="D8" s="17" t="s">
        <v>85</v>
      </c>
      <c r="E8" s="18">
        <v>30</v>
      </c>
      <c r="F8" s="19">
        <v>25000</v>
      </c>
      <c r="G8" s="19">
        <v>17000</v>
      </c>
      <c r="H8" s="17" t="s">
        <v>81</v>
      </c>
      <c r="I8" s="17" t="s">
        <v>79</v>
      </c>
      <c r="J8" s="20">
        <f>MATCH(D8,Calculations!$A$5:$A$16,0)</f>
        <v>4</v>
      </c>
      <c r="K8" s="19">
        <f t="shared" si="0"/>
        <v>750000</v>
      </c>
      <c r="L8" s="19">
        <f t="shared" si="1"/>
        <v>510000</v>
      </c>
      <c r="M8" s="19">
        <f t="shared" si="2"/>
        <v>240000</v>
      </c>
      <c r="N8" s="21">
        <f t="shared" si="3"/>
        <v>0.32</v>
      </c>
    </row>
    <row r="9" spans="1:14" ht="14.25" customHeight="1" x14ac:dyDescent="0.3">
      <c r="A9" s="12" t="s">
        <v>74</v>
      </c>
      <c r="B9" s="12" t="s">
        <v>75</v>
      </c>
      <c r="C9" s="12" t="s">
        <v>76</v>
      </c>
      <c r="D9" s="12" t="s">
        <v>86</v>
      </c>
      <c r="E9" s="13">
        <v>32</v>
      </c>
      <c r="F9" s="14">
        <v>25000</v>
      </c>
      <c r="G9" s="14">
        <v>17000</v>
      </c>
      <c r="H9" s="12" t="s">
        <v>78</v>
      </c>
      <c r="I9" s="12" t="s">
        <v>82</v>
      </c>
      <c r="J9" s="15">
        <f>MATCH(D9,Calculations!$A$5:$A$16,0)</f>
        <v>5</v>
      </c>
      <c r="K9" s="14">
        <f t="shared" si="0"/>
        <v>800000</v>
      </c>
      <c r="L9" s="14">
        <f t="shared" si="1"/>
        <v>544000</v>
      </c>
      <c r="M9" s="14">
        <f t="shared" si="2"/>
        <v>256000</v>
      </c>
      <c r="N9" s="16">
        <f t="shared" si="3"/>
        <v>0.32</v>
      </c>
    </row>
    <row r="10" spans="1:14" ht="14.25" customHeight="1" x14ac:dyDescent="0.3">
      <c r="A10" s="17" t="s">
        <v>74</v>
      </c>
      <c r="B10" s="17" t="s">
        <v>75</v>
      </c>
      <c r="C10" s="17" t="s">
        <v>76</v>
      </c>
      <c r="D10" s="17" t="s">
        <v>87</v>
      </c>
      <c r="E10" s="18">
        <v>31</v>
      </c>
      <c r="F10" s="19">
        <v>25000</v>
      </c>
      <c r="G10" s="19">
        <v>17000</v>
      </c>
      <c r="H10" s="17" t="s">
        <v>81</v>
      </c>
      <c r="I10" s="17" t="s">
        <v>84</v>
      </c>
      <c r="J10" s="20">
        <f>MATCH(D10,Calculations!$A$5:$A$16,0)</f>
        <v>6</v>
      </c>
      <c r="K10" s="19">
        <f t="shared" si="0"/>
        <v>775000</v>
      </c>
      <c r="L10" s="19">
        <f t="shared" si="1"/>
        <v>527000</v>
      </c>
      <c r="M10" s="19">
        <f t="shared" si="2"/>
        <v>248000</v>
      </c>
      <c r="N10" s="21">
        <f t="shared" si="3"/>
        <v>0.32</v>
      </c>
    </row>
    <row r="11" spans="1:14" ht="14.25" customHeight="1" x14ac:dyDescent="0.3">
      <c r="A11" s="12" t="s">
        <v>74</v>
      </c>
      <c r="B11" s="12" t="s">
        <v>75</v>
      </c>
      <c r="C11" s="12" t="s">
        <v>76</v>
      </c>
      <c r="D11" s="12" t="s">
        <v>88</v>
      </c>
      <c r="E11" s="13">
        <v>33</v>
      </c>
      <c r="F11" s="14">
        <v>25000</v>
      </c>
      <c r="G11" s="14">
        <v>17000</v>
      </c>
      <c r="H11" s="12" t="s">
        <v>78</v>
      </c>
      <c r="I11" s="12" t="s">
        <v>79</v>
      </c>
      <c r="J11" s="15">
        <f>MATCH(D11,Calculations!$A$5:$A$16,0)</f>
        <v>7</v>
      </c>
      <c r="K11" s="14">
        <f t="shared" si="0"/>
        <v>825000</v>
      </c>
      <c r="L11" s="14">
        <f t="shared" si="1"/>
        <v>561000</v>
      </c>
      <c r="M11" s="14">
        <f t="shared" si="2"/>
        <v>264000</v>
      </c>
      <c r="N11" s="16">
        <f t="shared" si="3"/>
        <v>0.32</v>
      </c>
    </row>
    <row r="12" spans="1:14" ht="14.25" customHeight="1" x14ac:dyDescent="0.3">
      <c r="A12" s="17" t="s">
        <v>74</v>
      </c>
      <c r="B12" s="17" t="s">
        <v>75</v>
      </c>
      <c r="C12" s="17" t="s">
        <v>76</v>
      </c>
      <c r="D12" s="17" t="s">
        <v>89</v>
      </c>
      <c r="E12" s="18">
        <v>36</v>
      </c>
      <c r="F12" s="19">
        <v>25000</v>
      </c>
      <c r="G12" s="19">
        <v>17000</v>
      </c>
      <c r="H12" s="17" t="s">
        <v>81</v>
      </c>
      <c r="I12" s="17" t="s">
        <v>82</v>
      </c>
      <c r="J12" s="20">
        <f>MATCH(D12,Calculations!$A$5:$A$16,0)</f>
        <v>8</v>
      </c>
      <c r="K12" s="19">
        <f t="shared" si="0"/>
        <v>900000</v>
      </c>
      <c r="L12" s="19">
        <f t="shared" si="1"/>
        <v>612000</v>
      </c>
      <c r="M12" s="19">
        <f t="shared" si="2"/>
        <v>288000</v>
      </c>
      <c r="N12" s="21">
        <f t="shared" si="3"/>
        <v>0.32</v>
      </c>
    </row>
    <row r="13" spans="1:14" ht="14.25" customHeight="1" x14ac:dyDescent="0.3">
      <c r="A13" s="12" t="s">
        <v>74</v>
      </c>
      <c r="B13" s="12" t="s">
        <v>75</v>
      </c>
      <c r="C13" s="12" t="s">
        <v>76</v>
      </c>
      <c r="D13" s="12" t="s">
        <v>90</v>
      </c>
      <c r="E13" s="13">
        <v>34</v>
      </c>
      <c r="F13" s="14">
        <v>25000</v>
      </c>
      <c r="G13" s="14">
        <v>17000</v>
      </c>
      <c r="H13" s="12" t="s">
        <v>78</v>
      </c>
      <c r="I13" s="12" t="s">
        <v>84</v>
      </c>
      <c r="J13" s="15">
        <f>MATCH(D13,Calculations!$A$5:$A$16,0)</f>
        <v>9</v>
      </c>
      <c r="K13" s="14">
        <f t="shared" si="0"/>
        <v>850000</v>
      </c>
      <c r="L13" s="14">
        <f t="shared" si="1"/>
        <v>578000</v>
      </c>
      <c r="M13" s="14">
        <f t="shared" si="2"/>
        <v>272000</v>
      </c>
      <c r="N13" s="16">
        <f t="shared" si="3"/>
        <v>0.32</v>
      </c>
    </row>
    <row r="14" spans="1:14" ht="14.25" customHeight="1" x14ac:dyDescent="0.3">
      <c r="A14" s="17" t="s">
        <v>74</v>
      </c>
      <c r="B14" s="17" t="s">
        <v>75</v>
      </c>
      <c r="C14" s="17" t="s">
        <v>76</v>
      </c>
      <c r="D14" s="17" t="s">
        <v>91</v>
      </c>
      <c r="E14" s="18">
        <v>37</v>
      </c>
      <c r="F14" s="19">
        <v>25000</v>
      </c>
      <c r="G14" s="19">
        <v>17000</v>
      </c>
      <c r="H14" s="17" t="s">
        <v>81</v>
      </c>
      <c r="I14" s="17" t="s">
        <v>79</v>
      </c>
      <c r="J14" s="20">
        <f>MATCH(D14,Calculations!$A$5:$A$16,0)</f>
        <v>10</v>
      </c>
      <c r="K14" s="19">
        <f t="shared" si="0"/>
        <v>925000</v>
      </c>
      <c r="L14" s="19">
        <f t="shared" si="1"/>
        <v>629000</v>
      </c>
      <c r="M14" s="19">
        <f t="shared" si="2"/>
        <v>296000</v>
      </c>
      <c r="N14" s="21">
        <f t="shared" si="3"/>
        <v>0.32</v>
      </c>
    </row>
    <row r="15" spans="1:14" ht="14.25" customHeight="1" x14ac:dyDescent="0.3">
      <c r="A15" s="12" t="s">
        <v>74</v>
      </c>
      <c r="B15" s="12" t="s">
        <v>75</v>
      </c>
      <c r="C15" s="12" t="s">
        <v>76</v>
      </c>
      <c r="D15" s="12" t="s">
        <v>92</v>
      </c>
      <c r="E15" s="13">
        <v>36</v>
      </c>
      <c r="F15" s="14">
        <v>25000</v>
      </c>
      <c r="G15" s="14">
        <v>17000</v>
      </c>
      <c r="H15" s="12" t="s">
        <v>78</v>
      </c>
      <c r="I15" s="12" t="s">
        <v>82</v>
      </c>
      <c r="J15" s="15">
        <f>MATCH(D15,Calculations!$A$5:$A$16,0)</f>
        <v>11</v>
      </c>
      <c r="K15" s="14">
        <f t="shared" si="0"/>
        <v>900000</v>
      </c>
      <c r="L15" s="14">
        <f t="shared" si="1"/>
        <v>612000</v>
      </c>
      <c r="M15" s="14">
        <f t="shared" si="2"/>
        <v>288000</v>
      </c>
      <c r="N15" s="16">
        <f t="shared" si="3"/>
        <v>0.32</v>
      </c>
    </row>
    <row r="16" spans="1:14" ht="14.25" customHeight="1" x14ac:dyDescent="0.3">
      <c r="A16" s="17" t="s">
        <v>74</v>
      </c>
      <c r="B16" s="17" t="s">
        <v>75</v>
      </c>
      <c r="C16" s="17" t="s">
        <v>76</v>
      </c>
      <c r="D16" s="17" t="s">
        <v>93</v>
      </c>
      <c r="E16" s="18">
        <v>38</v>
      </c>
      <c r="F16" s="19">
        <v>25000</v>
      </c>
      <c r="G16" s="19">
        <v>17000</v>
      </c>
      <c r="H16" s="17" t="s">
        <v>81</v>
      </c>
      <c r="I16" s="17" t="s">
        <v>84</v>
      </c>
      <c r="J16" s="20">
        <f>MATCH(D16,Calculations!$A$5:$A$16,0)</f>
        <v>12</v>
      </c>
      <c r="K16" s="19">
        <f t="shared" si="0"/>
        <v>950000</v>
      </c>
      <c r="L16" s="19">
        <f t="shared" si="1"/>
        <v>646000</v>
      </c>
      <c r="M16" s="19">
        <f t="shared" si="2"/>
        <v>304000</v>
      </c>
      <c r="N16" s="21">
        <f t="shared" si="3"/>
        <v>0.32</v>
      </c>
    </row>
    <row r="17" spans="1:14" ht="14.25" customHeight="1" x14ac:dyDescent="0.3">
      <c r="A17" s="12" t="s">
        <v>74</v>
      </c>
      <c r="B17" s="12" t="s">
        <v>94</v>
      </c>
      <c r="C17" s="12" t="s">
        <v>95</v>
      </c>
      <c r="D17" s="12" t="s">
        <v>77</v>
      </c>
      <c r="E17" s="13">
        <v>67</v>
      </c>
      <c r="F17" s="14">
        <v>5000</v>
      </c>
      <c r="G17" s="14">
        <v>3000</v>
      </c>
      <c r="H17" s="12" t="s">
        <v>81</v>
      </c>
      <c r="I17" s="12" t="s">
        <v>82</v>
      </c>
      <c r="J17" s="15">
        <f>MATCH(D17,Calculations!$A$5:$A$16,0)</f>
        <v>1</v>
      </c>
      <c r="K17" s="14">
        <f t="shared" si="0"/>
        <v>335000</v>
      </c>
      <c r="L17" s="14">
        <f t="shared" si="1"/>
        <v>201000</v>
      </c>
      <c r="M17" s="14">
        <f t="shared" si="2"/>
        <v>134000</v>
      </c>
      <c r="N17" s="16">
        <f t="shared" si="3"/>
        <v>0.4</v>
      </c>
    </row>
    <row r="18" spans="1:14" ht="14.25" customHeight="1" x14ac:dyDescent="0.3">
      <c r="A18" s="17" t="s">
        <v>74</v>
      </c>
      <c r="B18" s="17" t="s">
        <v>94</v>
      </c>
      <c r="C18" s="17" t="s">
        <v>95</v>
      </c>
      <c r="D18" s="17" t="s">
        <v>80</v>
      </c>
      <c r="E18" s="18">
        <v>66</v>
      </c>
      <c r="F18" s="19">
        <v>5000</v>
      </c>
      <c r="G18" s="19">
        <v>3000</v>
      </c>
      <c r="H18" s="17" t="s">
        <v>78</v>
      </c>
      <c r="I18" s="17" t="s">
        <v>84</v>
      </c>
      <c r="J18" s="20">
        <f>MATCH(D18,Calculations!$A$5:$A$16,0)</f>
        <v>2</v>
      </c>
      <c r="K18" s="19">
        <f t="shared" si="0"/>
        <v>330000</v>
      </c>
      <c r="L18" s="19">
        <f t="shared" si="1"/>
        <v>198000</v>
      </c>
      <c r="M18" s="19">
        <f t="shared" si="2"/>
        <v>132000</v>
      </c>
      <c r="N18" s="21">
        <f t="shared" si="3"/>
        <v>0.4</v>
      </c>
    </row>
    <row r="19" spans="1:14" ht="14.25" customHeight="1" x14ac:dyDescent="0.3">
      <c r="A19" s="12" t="s">
        <v>74</v>
      </c>
      <c r="B19" s="12" t="s">
        <v>94</v>
      </c>
      <c r="C19" s="12" t="s">
        <v>95</v>
      </c>
      <c r="D19" s="12" t="s">
        <v>83</v>
      </c>
      <c r="E19" s="13">
        <v>71</v>
      </c>
      <c r="F19" s="14">
        <v>5000</v>
      </c>
      <c r="G19" s="14">
        <v>3000</v>
      </c>
      <c r="H19" s="12" t="s">
        <v>81</v>
      </c>
      <c r="I19" s="12" t="s">
        <v>79</v>
      </c>
      <c r="J19" s="15">
        <f>MATCH(D19,Calculations!$A$5:$A$16,0)</f>
        <v>3</v>
      </c>
      <c r="K19" s="14">
        <f t="shared" si="0"/>
        <v>355000</v>
      </c>
      <c r="L19" s="14">
        <f t="shared" si="1"/>
        <v>213000</v>
      </c>
      <c r="M19" s="14">
        <f t="shared" si="2"/>
        <v>142000</v>
      </c>
      <c r="N19" s="16">
        <f t="shared" si="3"/>
        <v>0.4</v>
      </c>
    </row>
    <row r="20" spans="1:14" ht="14.25" customHeight="1" x14ac:dyDescent="0.3">
      <c r="A20" s="17" t="s">
        <v>74</v>
      </c>
      <c r="B20" s="17" t="s">
        <v>94</v>
      </c>
      <c r="C20" s="17" t="s">
        <v>95</v>
      </c>
      <c r="D20" s="17" t="s">
        <v>85</v>
      </c>
      <c r="E20" s="18">
        <v>76</v>
      </c>
      <c r="F20" s="19">
        <v>5000</v>
      </c>
      <c r="G20" s="19">
        <v>3000</v>
      </c>
      <c r="H20" s="17" t="s">
        <v>78</v>
      </c>
      <c r="I20" s="17" t="s">
        <v>82</v>
      </c>
      <c r="J20" s="20">
        <f>MATCH(D20,Calculations!$A$5:$A$16,0)</f>
        <v>4</v>
      </c>
      <c r="K20" s="19">
        <f t="shared" si="0"/>
        <v>380000</v>
      </c>
      <c r="L20" s="19">
        <f t="shared" si="1"/>
        <v>228000</v>
      </c>
      <c r="M20" s="19">
        <f t="shared" si="2"/>
        <v>152000</v>
      </c>
      <c r="N20" s="21">
        <f t="shared" si="3"/>
        <v>0.4</v>
      </c>
    </row>
    <row r="21" spans="1:14" ht="14.25" customHeight="1" x14ac:dyDescent="0.3">
      <c r="A21" s="12" t="s">
        <v>74</v>
      </c>
      <c r="B21" s="12" t="s">
        <v>94</v>
      </c>
      <c r="C21" s="12" t="s">
        <v>95</v>
      </c>
      <c r="D21" s="12" t="s">
        <v>86</v>
      </c>
      <c r="E21" s="13">
        <v>74</v>
      </c>
      <c r="F21" s="14">
        <v>5000</v>
      </c>
      <c r="G21" s="14">
        <v>3000</v>
      </c>
      <c r="H21" s="12" t="s">
        <v>81</v>
      </c>
      <c r="I21" s="12" t="s">
        <v>84</v>
      </c>
      <c r="J21" s="15">
        <f>MATCH(D21,Calculations!$A$5:$A$16,0)</f>
        <v>5</v>
      </c>
      <c r="K21" s="14">
        <f t="shared" si="0"/>
        <v>370000</v>
      </c>
      <c r="L21" s="14">
        <f t="shared" si="1"/>
        <v>222000</v>
      </c>
      <c r="M21" s="14">
        <f t="shared" si="2"/>
        <v>148000</v>
      </c>
      <c r="N21" s="16">
        <f t="shared" si="3"/>
        <v>0.4</v>
      </c>
    </row>
    <row r="22" spans="1:14" ht="14.25" customHeight="1" x14ac:dyDescent="0.3">
      <c r="A22" s="17" t="s">
        <v>74</v>
      </c>
      <c r="B22" s="17" t="s">
        <v>94</v>
      </c>
      <c r="C22" s="17" t="s">
        <v>95</v>
      </c>
      <c r="D22" s="17" t="s">
        <v>87</v>
      </c>
      <c r="E22" s="18">
        <v>79</v>
      </c>
      <c r="F22" s="19">
        <v>5000</v>
      </c>
      <c r="G22" s="19">
        <v>3000</v>
      </c>
      <c r="H22" s="17" t="s">
        <v>78</v>
      </c>
      <c r="I22" s="17" t="s">
        <v>79</v>
      </c>
      <c r="J22" s="20">
        <f>MATCH(D22,Calculations!$A$5:$A$16,0)</f>
        <v>6</v>
      </c>
      <c r="K22" s="19">
        <f t="shared" si="0"/>
        <v>395000</v>
      </c>
      <c r="L22" s="19">
        <f t="shared" si="1"/>
        <v>237000</v>
      </c>
      <c r="M22" s="19">
        <f t="shared" si="2"/>
        <v>158000</v>
      </c>
      <c r="N22" s="21">
        <f t="shared" si="3"/>
        <v>0.4</v>
      </c>
    </row>
    <row r="23" spans="1:14" ht="14.25" customHeight="1" x14ac:dyDescent="0.3">
      <c r="A23" s="12" t="s">
        <v>74</v>
      </c>
      <c r="B23" s="12" t="s">
        <v>94</v>
      </c>
      <c r="C23" s="12" t="s">
        <v>95</v>
      </c>
      <c r="D23" s="12" t="s">
        <v>88</v>
      </c>
      <c r="E23" s="13">
        <v>77</v>
      </c>
      <c r="F23" s="14">
        <v>5000</v>
      </c>
      <c r="G23" s="14">
        <v>3000</v>
      </c>
      <c r="H23" s="12" t="s">
        <v>81</v>
      </c>
      <c r="I23" s="12" t="s">
        <v>82</v>
      </c>
      <c r="J23" s="15">
        <f>MATCH(D23,Calculations!$A$5:$A$16,0)</f>
        <v>7</v>
      </c>
      <c r="K23" s="14">
        <f t="shared" si="0"/>
        <v>385000</v>
      </c>
      <c r="L23" s="14">
        <f t="shared" si="1"/>
        <v>231000</v>
      </c>
      <c r="M23" s="14">
        <f t="shared" si="2"/>
        <v>154000</v>
      </c>
      <c r="N23" s="16">
        <f t="shared" si="3"/>
        <v>0.4</v>
      </c>
    </row>
    <row r="24" spans="1:14" ht="14.25" customHeight="1" x14ac:dyDescent="0.3">
      <c r="A24" s="17" t="s">
        <v>74</v>
      </c>
      <c r="B24" s="17" t="s">
        <v>94</v>
      </c>
      <c r="C24" s="17" t="s">
        <v>95</v>
      </c>
      <c r="D24" s="17" t="s">
        <v>89</v>
      </c>
      <c r="E24" s="18">
        <v>82</v>
      </c>
      <c r="F24" s="19">
        <v>5000</v>
      </c>
      <c r="G24" s="19">
        <v>3000</v>
      </c>
      <c r="H24" s="17" t="s">
        <v>78</v>
      </c>
      <c r="I24" s="17" t="s">
        <v>84</v>
      </c>
      <c r="J24" s="20">
        <f>MATCH(D24,Calculations!$A$5:$A$16,0)</f>
        <v>8</v>
      </c>
      <c r="K24" s="19">
        <f t="shared" si="0"/>
        <v>410000</v>
      </c>
      <c r="L24" s="19">
        <f t="shared" si="1"/>
        <v>246000</v>
      </c>
      <c r="M24" s="19">
        <f t="shared" si="2"/>
        <v>164000</v>
      </c>
      <c r="N24" s="21">
        <f t="shared" si="3"/>
        <v>0.4</v>
      </c>
    </row>
    <row r="25" spans="1:14" ht="14.25" customHeight="1" x14ac:dyDescent="0.3">
      <c r="A25" s="12" t="s">
        <v>74</v>
      </c>
      <c r="B25" s="12" t="s">
        <v>94</v>
      </c>
      <c r="C25" s="12" t="s">
        <v>95</v>
      </c>
      <c r="D25" s="12" t="s">
        <v>90</v>
      </c>
      <c r="E25" s="13">
        <v>88</v>
      </c>
      <c r="F25" s="14">
        <v>5000</v>
      </c>
      <c r="G25" s="14">
        <v>3000</v>
      </c>
      <c r="H25" s="12" t="s">
        <v>81</v>
      </c>
      <c r="I25" s="12" t="s">
        <v>79</v>
      </c>
      <c r="J25" s="15">
        <f>MATCH(D25,Calculations!$A$5:$A$16,0)</f>
        <v>9</v>
      </c>
      <c r="K25" s="14">
        <f t="shared" si="0"/>
        <v>440000</v>
      </c>
      <c r="L25" s="14">
        <f t="shared" si="1"/>
        <v>264000</v>
      </c>
      <c r="M25" s="14">
        <f t="shared" si="2"/>
        <v>176000</v>
      </c>
      <c r="N25" s="16">
        <f t="shared" si="3"/>
        <v>0.4</v>
      </c>
    </row>
    <row r="26" spans="1:14" ht="14.25" customHeight="1" x14ac:dyDescent="0.3">
      <c r="A26" s="17" t="s">
        <v>74</v>
      </c>
      <c r="B26" s="17" t="s">
        <v>94</v>
      </c>
      <c r="C26" s="17" t="s">
        <v>95</v>
      </c>
      <c r="D26" s="17" t="s">
        <v>91</v>
      </c>
      <c r="E26" s="18">
        <v>85</v>
      </c>
      <c r="F26" s="19">
        <v>5000</v>
      </c>
      <c r="G26" s="19">
        <v>3000</v>
      </c>
      <c r="H26" s="17" t="s">
        <v>78</v>
      </c>
      <c r="I26" s="17" t="s">
        <v>82</v>
      </c>
      <c r="J26" s="20">
        <f>MATCH(D26,Calculations!$A$5:$A$16,0)</f>
        <v>10</v>
      </c>
      <c r="K26" s="19">
        <f t="shared" si="0"/>
        <v>425000</v>
      </c>
      <c r="L26" s="19">
        <f t="shared" si="1"/>
        <v>255000</v>
      </c>
      <c r="M26" s="19">
        <f t="shared" si="2"/>
        <v>170000</v>
      </c>
      <c r="N26" s="21">
        <f t="shared" si="3"/>
        <v>0.4</v>
      </c>
    </row>
    <row r="27" spans="1:14" ht="14.25" customHeight="1" x14ac:dyDescent="0.3">
      <c r="A27" s="12" t="s">
        <v>74</v>
      </c>
      <c r="B27" s="12" t="s">
        <v>94</v>
      </c>
      <c r="C27" s="12" t="s">
        <v>95</v>
      </c>
      <c r="D27" s="12" t="s">
        <v>92</v>
      </c>
      <c r="E27" s="13">
        <v>91</v>
      </c>
      <c r="F27" s="14">
        <v>5000</v>
      </c>
      <c r="G27" s="14">
        <v>3000</v>
      </c>
      <c r="H27" s="12" t="s">
        <v>81</v>
      </c>
      <c r="I27" s="12" t="s">
        <v>84</v>
      </c>
      <c r="J27" s="15">
        <f>MATCH(D27,Calculations!$A$5:$A$16,0)</f>
        <v>11</v>
      </c>
      <c r="K27" s="14">
        <f t="shared" si="0"/>
        <v>455000</v>
      </c>
      <c r="L27" s="14">
        <f t="shared" si="1"/>
        <v>273000</v>
      </c>
      <c r="M27" s="14">
        <f t="shared" si="2"/>
        <v>182000</v>
      </c>
      <c r="N27" s="16">
        <f t="shared" si="3"/>
        <v>0.4</v>
      </c>
    </row>
    <row r="28" spans="1:14" ht="14.25" customHeight="1" x14ac:dyDescent="0.3">
      <c r="A28" s="17" t="s">
        <v>74</v>
      </c>
      <c r="B28" s="17" t="s">
        <v>94</v>
      </c>
      <c r="C28" s="17" t="s">
        <v>95</v>
      </c>
      <c r="D28" s="17" t="s">
        <v>93</v>
      </c>
      <c r="E28" s="18">
        <v>88</v>
      </c>
      <c r="F28" s="19">
        <v>5000</v>
      </c>
      <c r="G28" s="19">
        <v>3000</v>
      </c>
      <c r="H28" s="17" t="s">
        <v>78</v>
      </c>
      <c r="I28" s="17" t="s">
        <v>79</v>
      </c>
      <c r="J28" s="20">
        <f>MATCH(D28,Calculations!$A$5:$A$16,0)</f>
        <v>12</v>
      </c>
      <c r="K28" s="19">
        <f t="shared" si="0"/>
        <v>440000</v>
      </c>
      <c r="L28" s="19">
        <f t="shared" si="1"/>
        <v>264000</v>
      </c>
      <c r="M28" s="19">
        <f t="shared" si="2"/>
        <v>176000</v>
      </c>
      <c r="N28" s="21">
        <f t="shared" si="3"/>
        <v>0.4</v>
      </c>
    </row>
    <row r="29" spans="1:14" ht="14.25" customHeight="1" x14ac:dyDescent="0.3">
      <c r="A29" s="12" t="s">
        <v>74</v>
      </c>
      <c r="B29" s="12" t="s">
        <v>96</v>
      </c>
      <c r="C29" s="12" t="s">
        <v>76</v>
      </c>
      <c r="D29" s="12" t="s">
        <v>77</v>
      </c>
      <c r="E29" s="13">
        <v>19</v>
      </c>
      <c r="F29" s="14">
        <v>15000</v>
      </c>
      <c r="G29" s="14">
        <v>9000</v>
      </c>
      <c r="H29" s="12" t="s">
        <v>78</v>
      </c>
      <c r="I29" s="12" t="s">
        <v>84</v>
      </c>
      <c r="J29" s="15">
        <f>MATCH(D29,Calculations!$A$5:$A$16,0)</f>
        <v>1</v>
      </c>
      <c r="K29" s="14">
        <f t="shared" si="0"/>
        <v>285000</v>
      </c>
      <c r="L29" s="14">
        <f t="shared" si="1"/>
        <v>171000</v>
      </c>
      <c r="M29" s="14">
        <f t="shared" si="2"/>
        <v>114000</v>
      </c>
      <c r="N29" s="16">
        <f t="shared" si="3"/>
        <v>0.4</v>
      </c>
    </row>
    <row r="30" spans="1:14" ht="14.25" customHeight="1" x14ac:dyDescent="0.3">
      <c r="A30" s="17" t="s">
        <v>74</v>
      </c>
      <c r="B30" s="17" t="s">
        <v>96</v>
      </c>
      <c r="C30" s="17" t="s">
        <v>76</v>
      </c>
      <c r="D30" s="17" t="s">
        <v>80</v>
      </c>
      <c r="E30" s="18">
        <v>21</v>
      </c>
      <c r="F30" s="19">
        <v>15000</v>
      </c>
      <c r="G30" s="19">
        <v>9000</v>
      </c>
      <c r="H30" s="17" t="s">
        <v>81</v>
      </c>
      <c r="I30" s="17" t="s">
        <v>79</v>
      </c>
      <c r="J30" s="20">
        <f>MATCH(D30,Calculations!$A$5:$A$16,0)</f>
        <v>2</v>
      </c>
      <c r="K30" s="19">
        <f t="shared" si="0"/>
        <v>315000</v>
      </c>
      <c r="L30" s="19">
        <f t="shared" si="1"/>
        <v>189000</v>
      </c>
      <c r="M30" s="19">
        <f t="shared" si="2"/>
        <v>126000</v>
      </c>
      <c r="N30" s="21">
        <f t="shared" si="3"/>
        <v>0.4</v>
      </c>
    </row>
    <row r="31" spans="1:14" ht="14.25" customHeight="1" x14ac:dyDescent="0.3">
      <c r="A31" s="12" t="s">
        <v>74</v>
      </c>
      <c r="B31" s="12" t="s">
        <v>96</v>
      </c>
      <c r="C31" s="12" t="s">
        <v>76</v>
      </c>
      <c r="D31" s="12" t="s">
        <v>83</v>
      </c>
      <c r="E31" s="13">
        <v>20</v>
      </c>
      <c r="F31" s="14">
        <v>15000</v>
      </c>
      <c r="G31" s="14">
        <v>9000</v>
      </c>
      <c r="H31" s="12" t="s">
        <v>78</v>
      </c>
      <c r="I31" s="12" t="s">
        <v>82</v>
      </c>
      <c r="J31" s="15">
        <f>MATCH(D31,Calculations!$A$5:$A$16,0)</f>
        <v>3</v>
      </c>
      <c r="K31" s="14">
        <f t="shared" si="0"/>
        <v>300000</v>
      </c>
      <c r="L31" s="14">
        <f t="shared" si="1"/>
        <v>180000</v>
      </c>
      <c r="M31" s="14">
        <f t="shared" si="2"/>
        <v>120000</v>
      </c>
      <c r="N31" s="16">
        <f t="shared" si="3"/>
        <v>0.4</v>
      </c>
    </row>
    <row r="32" spans="1:14" ht="14.25" customHeight="1" x14ac:dyDescent="0.3">
      <c r="A32" s="17" t="s">
        <v>74</v>
      </c>
      <c r="B32" s="17" t="s">
        <v>96</v>
      </c>
      <c r="C32" s="17" t="s">
        <v>76</v>
      </c>
      <c r="D32" s="17" t="s">
        <v>85</v>
      </c>
      <c r="E32" s="18">
        <v>22</v>
      </c>
      <c r="F32" s="19">
        <v>15000</v>
      </c>
      <c r="G32" s="19">
        <v>9000</v>
      </c>
      <c r="H32" s="17" t="s">
        <v>81</v>
      </c>
      <c r="I32" s="17" t="s">
        <v>84</v>
      </c>
      <c r="J32" s="20">
        <f>MATCH(D32,Calculations!$A$5:$A$16,0)</f>
        <v>4</v>
      </c>
      <c r="K32" s="19">
        <f t="shared" si="0"/>
        <v>330000</v>
      </c>
      <c r="L32" s="19">
        <f t="shared" si="1"/>
        <v>198000</v>
      </c>
      <c r="M32" s="19">
        <f t="shared" si="2"/>
        <v>132000</v>
      </c>
      <c r="N32" s="21">
        <f t="shared" si="3"/>
        <v>0.4</v>
      </c>
    </row>
    <row r="33" spans="1:14" ht="14.25" customHeight="1" x14ac:dyDescent="0.3">
      <c r="A33" s="12" t="s">
        <v>74</v>
      </c>
      <c r="B33" s="12" t="s">
        <v>96</v>
      </c>
      <c r="C33" s="12" t="s">
        <v>76</v>
      </c>
      <c r="D33" s="12" t="s">
        <v>86</v>
      </c>
      <c r="E33" s="13">
        <v>23</v>
      </c>
      <c r="F33" s="14">
        <v>15000</v>
      </c>
      <c r="G33" s="14">
        <v>9000</v>
      </c>
      <c r="H33" s="12" t="s">
        <v>78</v>
      </c>
      <c r="I33" s="12" t="s">
        <v>79</v>
      </c>
      <c r="J33" s="15">
        <f>MATCH(D33,Calculations!$A$5:$A$16,0)</f>
        <v>5</v>
      </c>
      <c r="K33" s="14">
        <f t="shared" si="0"/>
        <v>345000</v>
      </c>
      <c r="L33" s="14">
        <f t="shared" si="1"/>
        <v>207000</v>
      </c>
      <c r="M33" s="14">
        <f t="shared" si="2"/>
        <v>138000</v>
      </c>
      <c r="N33" s="16">
        <f t="shared" si="3"/>
        <v>0.4</v>
      </c>
    </row>
    <row r="34" spans="1:14" ht="14.25" customHeight="1" x14ac:dyDescent="0.3">
      <c r="A34" s="17" t="s">
        <v>74</v>
      </c>
      <c r="B34" s="17" t="s">
        <v>96</v>
      </c>
      <c r="C34" s="17" t="s">
        <v>76</v>
      </c>
      <c r="D34" s="17" t="s">
        <v>87</v>
      </c>
      <c r="E34" s="18">
        <v>23</v>
      </c>
      <c r="F34" s="19">
        <v>15000</v>
      </c>
      <c r="G34" s="19">
        <v>9000</v>
      </c>
      <c r="H34" s="17" t="s">
        <v>81</v>
      </c>
      <c r="I34" s="17" t="s">
        <v>82</v>
      </c>
      <c r="J34" s="20">
        <f>MATCH(D34,Calculations!$A$5:$A$16,0)</f>
        <v>6</v>
      </c>
      <c r="K34" s="19">
        <f t="shared" si="0"/>
        <v>345000</v>
      </c>
      <c r="L34" s="19">
        <f t="shared" si="1"/>
        <v>207000</v>
      </c>
      <c r="M34" s="19">
        <f t="shared" si="2"/>
        <v>138000</v>
      </c>
      <c r="N34" s="21">
        <f t="shared" si="3"/>
        <v>0.4</v>
      </c>
    </row>
    <row r="35" spans="1:14" ht="14.25" customHeight="1" x14ac:dyDescent="0.3">
      <c r="A35" s="12" t="s">
        <v>74</v>
      </c>
      <c r="B35" s="12" t="s">
        <v>96</v>
      </c>
      <c r="C35" s="12" t="s">
        <v>76</v>
      </c>
      <c r="D35" s="12" t="s">
        <v>88</v>
      </c>
      <c r="E35" s="13">
        <v>24</v>
      </c>
      <c r="F35" s="14">
        <v>15000</v>
      </c>
      <c r="G35" s="14">
        <v>9000</v>
      </c>
      <c r="H35" s="12" t="s">
        <v>78</v>
      </c>
      <c r="I35" s="12" t="s">
        <v>84</v>
      </c>
      <c r="J35" s="15">
        <f>MATCH(D35,Calculations!$A$5:$A$16,0)</f>
        <v>7</v>
      </c>
      <c r="K35" s="14">
        <f t="shared" si="0"/>
        <v>360000</v>
      </c>
      <c r="L35" s="14">
        <f t="shared" si="1"/>
        <v>216000</v>
      </c>
      <c r="M35" s="14">
        <f t="shared" si="2"/>
        <v>144000</v>
      </c>
      <c r="N35" s="16">
        <f t="shared" si="3"/>
        <v>0.4</v>
      </c>
    </row>
    <row r="36" spans="1:14" ht="14.25" customHeight="1" x14ac:dyDescent="0.3">
      <c r="A36" s="17" t="s">
        <v>74</v>
      </c>
      <c r="B36" s="17" t="s">
        <v>96</v>
      </c>
      <c r="C36" s="17" t="s">
        <v>76</v>
      </c>
      <c r="D36" s="17" t="s">
        <v>89</v>
      </c>
      <c r="E36" s="18">
        <v>24</v>
      </c>
      <c r="F36" s="19">
        <v>15000</v>
      </c>
      <c r="G36" s="19">
        <v>9000</v>
      </c>
      <c r="H36" s="17" t="s">
        <v>81</v>
      </c>
      <c r="I36" s="17" t="s">
        <v>79</v>
      </c>
      <c r="J36" s="20">
        <f>MATCH(D36,Calculations!$A$5:$A$16,0)</f>
        <v>8</v>
      </c>
      <c r="K36" s="19">
        <f t="shared" si="0"/>
        <v>360000</v>
      </c>
      <c r="L36" s="19">
        <f t="shared" si="1"/>
        <v>216000</v>
      </c>
      <c r="M36" s="19">
        <f t="shared" si="2"/>
        <v>144000</v>
      </c>
      <c r="N36" s="21">
        <f t="shared" si="3"/>
        <v>0.4</v>
      </c>
    </row>
    <row r="37" spans="1:14" ht="14.25" customHeight="1" x14ac:dyDescent="0.3">
      <c r="A37" s="12" t="s">
        <v>74</v>
      </c>
      <c r="B37" s="12" t="s">
        <v>96</v>
      </c>
      <c r="C37" s="12" t="s">
        <v>76</v>
      </c>
      <c r="D37" s="12" t="s">
        <v>90</v>
      </c>
      <c r="E37" s="13">
        <v>25</v>
      </c>
      <c r="F37" s="14">
        <v>15000</v>
      </c>
      <c r="G37" s="14">
        <v>9000</v>
      </c>
      <c r="H37" s="12" t="s">
        <v>78</v>
      </c>
      <c r="I37" s="12" t="s">
        <v>82</v>
      </c>
      <c r="J37" s="15">
        <f>MATCH(D37,Calculations!$A$5:$A$16,0)</f>
        <v>9</v>
      </c>
      <c r="K37" s="14">
        <f t="shared" si="0"/>
        <v>375000</v>
      </c>
      <c r="L37" s="14">
        <f t="shared" si="1"/>
        <v>225000</v>
      </c>
      <c r="M37" s="14">
        <f t="shared" si="2"/>
        <v>150000</v>
      </c>
      <c r="N37" s="16">
        <f t="shared" si="3"/>
        <v>0.4</v>
      </c>
    </row>
    <row r="38" spans="1:14" ht="14.25" customHeight="1" x14ac:dyDescent="0.3">
      <c r="A38" s="17" t="s">
        <v>74</v>
      </c>
      <c r="B38" s="17" t="s">
        <v>96</v>
      </c>
      <c r="C38" s="17" t="s">
        <v>76</v>
      </c>
      <c r="D38" s="17" t="s">
        <v>91</v>
      </c>
      <c r="E38" s="18">
        <v>27</v>
      </c>
      <c r="F38" s="19">
        <v>15000</v>
      </c>
      <c r="G38" s="19">
        <v>9000</v>
      </c>
      <c r="H38" s="17" t="s">
        <v>81</v>
      </c>
      <c r="I38" s="17" t="s">
        <v>84</v>
      </c>
      <c r="J38" s="20">
        <f>MATCH(D38,Calculations!$A$5:$A$16,0)</f>
        <v>10</v>
      </c>
      <c r="K38" s="19">
        <f t="shared" si="0"/>
        <v>405000</v>
      </c>
      <c r="L38" s="19">
        <f t="shared" si="1"/>
        <v>243000</v>
      </c>
      <c r="M38" s="19">
        <f t="shared" si="2"/>
        <v>162000</v>
      </c>
      <c r="N38" s="21">
        <f t="shared" si="3"/>
        <v>0.4</v>
      </c>
    </row>
    <row r="39" spans="1:14" ht="14.25" customHeight="1" x14ac:dyDescent="0.3">
      <c r="A39" s="12" t="s">
        <v>74</v>
      </c>
      <c r="B39" s="12" t="s">
        <v>96</v>
      </c>
      <c r="C39" s="12" t="s">
        <v>76</v>
      </c>
      <c r="D39" s="12" t="s">
        <v>92</v>
      </c>
      <c r="E39" s="13">
        <v>26</v>
      </c>
      <c r="F39" s="14">
        <v>15000</v>
      </c>
      <c r="G39" s="14">
        <v>9000</v>
      </c>
      <c r="H39" s="12" t="s">
        <v>78</v>
      </c>
      <c r="I39" s="12" t="s">
        <v>79</v>
      </c>
      <c r="J39" s="15">
        <f>MATCH(D39,Calculations!$A$5:$A$16,0)</f>
        <v>11</v>
      </c>
      <c r="K39" s="14">
        <f t="shared" si="0"/>
        <v>390000</v>
      </c>
      <c r="L39" s="14">
        <f t="shared" si="1"/>
        <v>234000</v>
      </c>
      <c r="M39" s="14">
        <f t="shared" si="2"/>
        <v>156000</v>
      </c>
      <c r="N39" s="16">
        <f t="shared" si="3"/>
        <v>0.4</v>
      </c>
    </row>
    <row r="40" spans="1:14" ht="14.25" customHeight="1" x14ac:dyDescent="0.3">
      <c r="A40" s="17" t="s">
        <v>74</v>
      </c>
      <c r="B40" s="17" t="s">
        <v>96</v>
      </c>
      <c r="C40" s="17" t="s">
        <v>76</v>
      </c>
      <c r="D40" s="17" t="s">
        <v>93</v>
      </c>
      <c r="E40" s="18">
        <v>28</v>
      </c>
      <c r="F40" s="19">
        <v>15000</v>
      </c>
      <c r="G40" s="19">
        <v>9000</v>
      </c>
      <c r="H40" s="17" t="s">
        <v>81</v>
      </c>
      <c r="I40" s="17" t="s">
        <v>82</v>
      </c>
      <c r="J40" s="20">
        <f>MATCH(D40,Calculations!$A$5:$A$16,0)</f>
        <v>12</v>
      </c>
      <c r="K40" s="19">
        <f t="shared" si="0"/>
        <v>420000</v>
      </c>
      <c r="L40" s="19">
        <f t="shared" si="1"/>
        <v>252000</v>
      </c>
      <c r="M40" s="19">
        <f t="shared" si="2"/>
        <v>168000</v>
      </c>
      <c r="N40" s="21">
        <f t="shared" si="3"/>
        <v>0.4</v>
      </c>
    </row>
    <row r="41" spans="1:14" ht="14.25" customHeight="1" x14ac:dyDescent="0.3">
      <c r="A41" s="12" t="s">
        <v>74</v>
      </c>
      <c r="B41" s="12" t="s">
        <v>97</v>
      </c>
      <c r="C41" s="12" t="s">
        <v>95</v>
      </c>
      <c r="D41" s="12" t="s">
        <v>77</v>
      </c>
      <c r="E41" s="13">
        <v>23</v>
      </c>
      <c r="F41" s="14">
        <v>12000</v>
      </c>
      <c r="G41" s="14">
        <v>7000</v>
      </c>
      <c r="H41" s="12" t="s">
        <v>81</v>
      </c>
      <c r="I41" s="12" t="s">
        <v>79</v>
      </c>
      <c r="J41" s="15">
        <f>MATCH(D41,Calculations!$A$5:$A$16,0)</f>
        <v>1</v>
      </c>
      <c r="K41" s="14">
        <f t="shared" si="0"/>
        <v>276000</v>
      </c>
      <c r="L41" s="14">
        <f t="shared" si="1"/>
        <v>161000</v>
      </c>
      <c r="M41" s="14">
        <f t="shared" si="2"/>
        <v>115000</v>
      </c>
      <c r="N41" s="16">
        <f t="shared" si="3"/>
        <v>0.41666666666666669</v>
      </c>
    </row>
    <row r="42" spans="1:14" ht="14.25" customHeight="1" x14ac:dyDescent="0.3">
      <c r="A42" s="17" t="s">
        <v>74</v>
      </c>
      <c r="B42" s="17" t="s">
        <v>97</v>
      </c>
      <c r="C42" s="17" t="s">
        <v>95</v>
      </c>
      <c r="D42" s="17" t="s">
        <v>80</v>
      </c>
      <c r="E42" s="18">
        <v>22</v>
      </c>
      <c r="F42" s="19">
        <v>12000</v>
      </c>
      <c r="G42" s="19">
        <v>7000</v>
      </c>
      <c r="H42" s="17" t="s">
        <v>78</v>
      </c>
      <c r="I42" s="17" t="s">
        <v>82</v>
      </c>
      <c r="J42" s="20">
        <f>MATCH(D42,Calculations!$A$5:$A$16,0)</f>
        <v>2</v>
      </c>
      <c r="K42" s="19">
        <f t="shared" si="0"/>
        <v>264000</v>
      </c>
      <c r="L42" s="19">
        <f t="shared" si="1"/>
        <v>154000</v>
      </c>
      <c r="M42" s="19">
        <f t="shared" si="2"/>
        <v>110000</v>
      </c>
      <c r="N42" s="21">
        <f t="shared" si="3"/>
        <v>0.41666666666666669</v>
      </c>
    </row>
    <row r="43" spans="1:14" ht="14.25" customHeight="1" x14ac:dyDescent="0.3">
      <c r="A43" s="12" t="s">
        <v>74</v>
      </c>
      <c r="B43" s="12" t="s">
        <v>97</v>
      </c>
      <c r="C43" s="12" t="s">
        <v>95</v>
      </c>
      <c r="D43" s="12" t="s">
        <v>83</v>
      </c>
      <c r="E43" s="13">
        <v>24</v>
      </c>
      <c r="F43" s="14">
        <v>12000</v>
      </c>
      <c r="G43" s="14">
        <v>7000</v>
      </c>
      <c r="H43" s="12" t="s">
        <v>81</v>
      </c>
      <c r="I43" s="12" t="s">
        <v>84</v>
      </c>
      <c r="J43" s="15">
        <f>MATCH(D43,Calculations!$A$5:$A$16,0)</f>
        <v>3</v>
      </c>
      <c r="K43" s="14">
        <f t="shared" si="0"/>
        <v>288000</v>
      </c>
      <c r="L43" s="14">
        <f t="shared" si="1"/>
        <v>168000</v>
      </c>
      <c r="M43" s="14">
        <f t="shared" si="2"/>
        <v>120000</v>
      </c>
      <c r="N43" s="16">
        <f t="shared" si="3"/>
        <v>0.41666666666666669</v>
      </c>
    </row>
    <row r="44" spans="1:14" ht="14.25" customHeight="1" x14ac:dyDescent="0.3">
      <c r="A44" s="17" t="s">
        <v>74</v>
      </c>
      <c r="B44" s="17" t="s">
        <v>97</v>
      </c>
      <c r="C44" s="17" t="s">
        <v>95</v>
      </c>
      <c r="D44" s="17" t="s">
        <v>85</v>
      </c>
      <c r="E44" s="18">
        <v>23</v>
      </c>
      <c r="F44" s="19">
        <v>12000</v>
      </c>
      <c r="G44" s="19">
        <v>7000</v>
      </c>
      <c r="H44" s="17" t="s">
        <v>78</v>
      </c>
      <c r="I44" s="17" t="s">
        <v>79</v>
      </c>
      <c r="J44" s="20">
        <f>MATCH(D44,Calculations!$A$5:$A$16,0)</f>
        <v>4</v>
      </c>
      <c r="K44" s="19">
        <f t="shared" si="0"/>
        <v>276000</v>
      </c>
      <c r="L44" s="19">
        <f t="shared" si="1"/>
        <v>161000</v>
      </c>
      <c r="M44" s="19">
        <f t="shared" si="2"/>
        <v>115000</v>
      </c>
      <c r="N44" s="21">
        <f t="shared" si="3"/>
        <v>0.41666666666666669</v>
      </c>
    </row>
    <row r="45" spans="1:14" ht="14.25" customHeight="1" x14ac:dyDescent="0.3">
      <c r="A45" s="12" t="s">
        <v>74</v>
      </c>
      <c r="B45" s="12" t="s">
        <v>97</v>
      </c>
      <c r="C45" s="12" t="s">
        <v>95</v>
      </c>
      <c r="D45" s="12" t="s">
        <v>86</v>
      </c>
      <c r="E45" s="13">
        <v>25</v>
      </c>
      <c r="F45" s="14">
        <v>12000</v>
      </c>
      <c r="G45" s="14">
        <v>7000</v>
      </c>
      <c r="H45" s="12" t="s">
        <v>81</v>
      </c>
      <c r="I45" s="12" t="s">
        <v>82</v>
      </c>
      <c r="J45" s="15">
        <f>MATCH(D45,Calculations!$A$5:$A$16,0)</f>
        <v>5</v>
      </c>
      <c r="K45" s="14">
        <f t="shared" si="0"/>
        <v>300000</v>
      </c>
      <c r="L45" s="14">
        <f t="shared" si="1"/>
        <v>175000</v>
      </c>
      <c r="M45" s="14">
        <f t="shared" si="2"/>
        <v>125000</v>
      </c>
      <c r="N45" s="16">
        <f t="shared" si="3"/>
        <v>0.41666666666666669</v>
      </c>
    </row>
    <row r="46" spans="1:14" ht="14.25" customHeight="1" x14ac:dyDescent="0.3">
      <c r="A46" s="17" t="s">
        <v>74</v>
      </c>
      <c r="B46" s="17" t="s">
        <v>97</v>
      </c>
      <c r="C46" s="17" t="s">
        <v>95</v>
      </c>
      <c r="D46" s="17" t="s">
        <v>87</v>
      </c>
      <c r="E46" s="18">
        <v>27</v>
      </c>
      <c r="F46" s="19">
        <v>12000</v>
      </c>
      <c r="G46" s="19">
        <v>7000</v>
      </c>
      <c r="H46" s="17" t="s">
        <v>78</v>
      </c>
      <c r="I46" s="17" t="s">
        <v>84</v>
      </c>
      <c r="J46" s="20">
        <f>MATCH(D46,Calculations!$A$5:$A$16,0)</f>
        <v>6</v>
      </c>
      <c r="K46" s="19">
        <f t="shared" si="0"/>
        <v>324000</v>
      </c>
      <c r="L46" s="19">
        <f t="shared" si="1"/>
        <v>189000</v>
      </c>
      <c r="M46" s="19">
        <f t="shared" si="2"/>
        <v>135000</v>
      </c>
      <c r="N46" s="21">
        <f t="shared" si="3"/>
        <v>0.41666666666666669</v>
      </c>
    </row>
    <row r="47" spans="1:14" ht="14.25" customHeight="1" x14ac:dyDescent="0.3">
      <c r="A47" s="12" t="s">
        <v>74</v>
      </c>
      <c r="B47" s="12" t="s">
        <v>97</v>
      </c>
      <c r="C47" s="12" t="s">
        <v>95</v>
      </c>
      <c r="D47" s="12" t="s">
        <v>88</v>
      </c>
      <c r="E47" s="13">
        <v>26</v>
      </c>
      <c r="F47" s="14">
        <v>12000</v>
      </c>
      <c r="G47" s="14">
        <v>7000</v>
      </c>
      <c r="H47" s="12" t="s">
        <v>81</v>
      </c>
      <c r="I47" s="12" t="s">
        <v>79</v>
      </c>
      <c r="J47" s="15">
        <f>MATCH(D47,Calculations!$A$5:$A$16,0)</f>
        <v>7</v>
      </c>
      <c r="K47" s="14">
        <f t="shared" si="0"/>
        <v>312000</v>
      </c>
      <c r="L47" s="14">
        <f t="shared" si="1"/>
        <v>182000</v>
      </c>
      <c r="M47" s="14">
        <f t="shared" si="2"/>
        <v>130000</v>
      </c>
      <c r="N47" s="16">
        <f t="shared" si="3"/>
        <v>0.41666666666666669</v>
      </c>
    </row>
    <row r="48" spans="1:14" ht="14.25" customHeight="1" x14ac:dyDescent="0.3">
      <c r="A48" s="17" t="s">
        <v>74</v>
      </c>
      <c r="B48" s="17" t="s">
        <v>97</v>
      </c>
      <c r="C48" s="17" t="s">
        <v>95</v>
      </c>
      <c r="D48" s="17" t="s">
        <v>89</v>
      </c>
      <c r="E48" s="18">
        <v>28</v>
      </c>
      <c r="F48" s="19">
        <v>12000</v>
      </c>
      <c r="G48" s="19">
        <v>7000</v>
      </c>
      <c r="H48" s="17" t="s">
        <v>78</v>
      </c>
      <c r="I48" s="17" t="s">
        <v>82</v>
      </c>
      <c r="J48" s="20">
        <f>MATCH(D48,Calculations!$A$5:$A$16,0)</f>
        <v>8</v>
      </c>
      <c r="K48" s="19">
        <f t="shared" si="0"/>
        <v>336000</v>
      </c>
      <c r="L48" s="19">
        <f t="shared" si="1"/>
        <v>196000</v>
      </c>
      <c r="M48" s="19">
        <f t="shared" si="2"/>
        <v>140000</v>
      </c>
      <c r="N48" s="21">
        <f t="shared" si="3"/>
        <v>0.41666666666666669</v>
      </c>
    </row>
    <row r="49" spans="1:14" ht="14.25" customHeight="1" x14ac:dyDescent="0.3">
      <c r="A49" s="12" t="s">
        <v>74</v>
      </c>
      <c r="B49" s="12" t="s">
        <v>97</v>
      </c>
      <c r="C49" s="12" t="s">
        <v>95</v>
      </c>
      <c r="D49" s="12" t="s">
        <v>90</v>
      </c>
      <c r="E49" s="13">
        <v>27</v>
      </c>
      <c r="F49" s="14">
        <v>12000</v>
      </c>
      <c r="G49" s="14">
        <v>7000</v>
      </c>
      <c r="H49" s="12" t="s">
        <v>81</v>
      </c>
      <c r="I49" s="12" t="s">
        <v>84</v>
      </c>
      <c r="J49" s="15">
        <f>MATCH(D49,Calculations!$A$5:$A$16,0)</f>
        <v>9</v>
      </c>
      <c r="K49" s="14">
        <f t="shared" si="0"/>
        <v>324000</v>
      </c>
      <c r="L49" s="14">
        <f t="shared" si="1"/>
        <v>189000</v>
      </c>
      <c r="M49" s="14">
        <f t="shared" si="2"/>
        <v>135000</v>
      </c>
      <c r="N49" s="16">
        <f t="shared" si="3"/>
        <v>0.41666666666666669</v>
      </c>
    </row>
    <row r="50" spans="1:14" ht="14.25" customHeight="1" x14ac:dyDescent="0.3">
      <c r="A50" s="17" t="s">
        <v>74</v>
      </c>
      <c r="B50" s="17" t="s">
        <v>97</v>
      </c>
      <c r="C50" s="17" t="s">
        <v>95</v>
      </c>
      <c r="D50" s="17" t="s">
        <v>91</v>
      </c>
      <c r="E50" s="18">
        <v>29</v>
      </c>
      <c r="F50" s="19">
        <v>12000</v>
      </c>
      <c r="G50" s="19">
        <v>7000</v>
      </c>
      <c r="H50" s="17" t="s">
        <v>78</v>
      </c>
      <c r="I50" s="17" t="s">
        <v>79</v>
      </c>
      <c r="J50" s="20">
        <f>MATCH(D50,Calculations!$A$5:$A$16,0)</f>
        <v>10</v>
      </c>
      <c r="K50" s="19">
        <f t="shared" si="0"/>
        <v>348000</v>
      </c>
      <c r="L50" s="19">
        <f t="shared" si="1"/>
        <v>203000</v>
      </c>
      <c r="M50" s="19">
        <f t="shared" si="2"/>
        <v>145000</v>
      </c>
      <c r="N50" s="21">
        <f t="shared" si="3"/>
        <v>0.41666666666666669</v>
      </c>
    </row>
    <row r="51" spans="1:14" ht="14.25" customHeight="1" x14ac:dyDescent="0.3">
      <c r="A51" s="12" t="s">
        <v>74</v>
      </c>
      <c r="B51" s="12" t="s">
        <v>97</v>
      </c>
      <c r="C51" s="12" t="s">
        <v>95</v>
      </c>
      <c r="D51" s="12" t="s">
        <v>92</v>
      </c>
      <c r="E51" s="13">
        <v>31</v>
      </c>
      <c r="F51" s="14">
        <v>12000</v>
      </c>
      <c r="G51" s="14">
        <v>7000</v>
      </c>
      <c r="H51" s="12" t="s">
        <v>81</v>
      </c>
      <c r="I51" s="12" t="s">
        <v>82</v>
      </c>
      <c r="J51" s="15">
        <f>MATCH(D51,Calculations!$A$5:$A$16,0)</f>
        <v>11</v>
      </c>
      <c r="K51" s="14">
        <f t="shared" si="0"/>
        <v>372000</v>
      </c>
      <c r="L51" s="14">
        <f t="shared" si="1"/>
        <v>217000</v>
      </c>
      <c r="M51" s="14">
        <f t="shared" si="2"/>
        <v>155000</v>
      </c>
      <c r="N51" s="16">
        <f t="shared" si="3"/>
        <v>0.41666666666666669</v>
      </c>
    </row>
    <row r="52" spans="1:14" ht="14.25" customHeight="1" x14ac:dyDescent="0.3">
      <c r="A52" s="17" t="s">
        <v>74</v>
      </c>
      <c r="B52" s="17" t="s">
        <v>97</v>
      </c>
      <c r="C52" s="17" t="s">
        <v>95</v>
      </c>
      <c r="D52" s="17" t="s">
        <v>93</v>
      </c>
      <c r="E52" s="18">
        <v>30</v>
      </c>
      <c r="F52" s="19">
        <v>12000</v>
      </c>
      <c r="G52" s="19">
        <v>7000</v>
      </c>
      <c r="H52" s="17" t="s">
        <v>78</v>
      </c>
      <c r="I52" s="17" t="s">
        <v>84</v>
      </c>
      <c r="J52" s="20">
        <f>MATCH(D52,Calculations!$A$5:$A$16,0)</f>
        <v>12</v>
      </c>
      <c r="K52" s="19">
        <f t="shared" si="0"/>
        <v>360000</v>
      </c>
      <c r="L52" s="19">
        <f t="shared" si="1"/>
        <v>210000</v>
      </c>
      <c r="M52" s="19">
        <f t="shared" si="2"/>
        <v>150000</v>
      </c>
      <c r="N52" s="21">
        <f t="shared" si="3"/>
        <v>0.41666666666666669</v>
      </c>
    </row>
    <row r="53" spans="1:14" ht="14.25" customHeight="1" x14ac:dyDescent="0.3">
      <c r="A53" s="12" t="s">
        <v>74</v>
      </c>
      <c r="B53" s="12" t="s">
        <v>98</v>
      </c>
      <c r="C53" s="12" t="s">
        <v>99</v>
      </c>
      <c r="D53" s="12" t="s">
        <v>77</v>
      </c>
      <c r="E53" s="13">
        <v>26</v>
      </c>
      <c r="F53" s="14">
        <v>9000</v>
      </c>
      <c r="G53" s="14">
        <v>5000</v>
      </c>
      <c r="H53" s="12" t="s">
        <v>78</v>
      </c>
      <c r="I53" s="12" t="s">
        <v>82</v>
      </c>
      <c r="J53" s="15">
        <f>MATCH(D53,Calculations!$A$5:$A$16,0)</f>
        <v>1</v>
      </c>
      <c r="K53" s="14">
        <f t="shared" si="0"/>
        <v>234000</v>
      </c>
      <c r="L53" s="14">
        <f t="shared" si="1"/>
        <v>130000</v>
      </c>
      <c r="M53" s="14">
        <f t="shared" si="2"/>
        <v>104000</v>
      </c>
      <c r="N53" s="16">
        <f t="shared" si="3"/>
        <v>0.44444444444444442</v>
      </c>
    </row>
    <row r="54" spans="1:14" ht="14.25" customHeight="1" x14ac:dyDescent="0.3">
      <c r="A54" s="17" t="s">
        <v>74</v>
      </c>
      <c r="B54" s="17" t="s">
        <v>98</v>
      </c>
      <c r="C54" s="17" t="s">
        <v>99</v>
      </c>
      <c r="D54" s="17" t="s">
        <v>80</v>
      </c>
      <c r="E54" s="18">
        <v>28</v>
      </c>
      <c r="F54" s="19">
        <v>9000</v>
      </c>
      <c r="G54" s="19">
        <v>5000</v>
      </c>
      <c r="H54" s="17" t="s">
        <v>81</v>
      </c>
      <c r="I54" s="17" t="s">
        <v>84</v>
      </c>
      <c r="J54" s="20">
        <f>MATCH(D54,Calculations!$A$5:$A$16,0)</f>
        <v>2</v>
      </c>
      <c r="K54" s="19">
        <f t="shared" si="0"/>
        <v>252000</v>
      </c>
      <c r="L54" s="19">
        <f t="shared" si="1"/>
        <v>140000</v>
      </c>
      <c r="M54" s="19">
        <f t="shared" si="2"/>
        <v>112000</v>
      </c>
      <c r="N54" s="21">
        <f t="shared" si="3"/>
        <v>0.44444444444444442</v>
      </c>
    </row>
    <row r="55" spans="1:14" ht="14.25" customHeight="1" x14ac:dyDescent="0.3">
      <c r="A55" s="12" t="s">
        <v>74</v>
      </c>
      <c r="B55" s="12" t="s">
        <v>98</v>
      </c>
      <c r="C55" s="12" t="s">
        <v>99</v>
      </c>
      <c r="D55" s="12" t="s">
        <v>83</v>
      </c>
      <c r="E55" s="13">
        <v>28</v>
      </c>
      <c r="F55" s="14">
        <v>9000</v>
      </c>
      <c r="G55" s="14">
        <v>5000</v>
      </c>
      <c r="H55" s="12" t="s">
        <v>78</v>
      </c>
      <c r="I55" s="12" t="s">
        <v>79</v>
      </c>
      <c r="J55" s="15">
        <f>MATCH(D55,Calculations!$A$5:$A$16,0)</f>
        <v>3</v>
      </c>
      <c r="K55" s="14">
        <f t="shared" si="0"/>
        <v>252000</v>
      </c>
      <c r="L55" s="14">
        <f t="shared" si="1"/>
        <v>140000</v>
      </c>
      <c r="M55" s="14">
        <f t="shared" si="2"/>
        <v>112000</v>
      </c>
      <c r="N55" s="16">
        <f t="shared" si="3"/>
        <v>0.44444444444444442</v>
      </c>
    </row>
    <row r="56" spans="1:14" ht="14.25" customHeight="1" x14ac:dyDescent="0.3">
      <c r="A56" s="17" t="s">
        <v>74</v>
      </c>
      <c r="B56" s="17" t="s">
        <v>98</v>
      </c>
      <c r="C56" s="17" t="s">
        <v>99</v>
      </c>
      <c r="D56" s="17" t="s">
        <v>85</v>
      </c>
      <c r="E56" s="18">
        <v>30</v>
      </c>
      <c r="F56" s="19">
        <v>9000</v>
      </c>
      <c r="G56" s="19">
        <v>5000</v>
      </c>
      <c r="H56" s="17" t="s">
        <v>81</v>
      </c>
      <c r="I56" s="17" t="s">
        <v>82</v>
      </c>
      <c r="J56" s="20">
        <f>MATCH(D56,Calculations!$A$5:$A$16,0)</f>
        <v>4</v>
      </c>
      <c r="K56" s="19">
        <f t="shared" si="0"/>
        <v>270000</v>
      </c>
      <c r="L56" s="19">
        <f t="shared" si="1"/>
        <v>150000</v>
      </c>
      <c r="M56" s="19">
        <f t="shared" si="2"/>
        <v>120000</v>
      </c>
      <c r="N56" s="21">
        <f t="shared" si="3"/>
        <v>0.44444444444444442</v>
      </c>
    </row>
    <row r="57" spans="1:14" ht="14.25" customHeight="1" x14ac:dyDescent="0.3">
      <c r="A57" s="12" t="s">
        <v>74</v>
      </c>
      <c r="B57" s="12" t="s">
        <v>98</v>
      </c>
      <c r="C57" s="12" t="s">
        <v>99</v>
      </c>
      <c r="D57" s="12" t="s">
        <v>86</v>
      </c>
      <c r="E57" s="13">
        <v>29</v>
      </c>
      <c r="F57" s="14">
        <v>9000</v>
      </c>
      <c r="G57" s="14">
        <v>5000</v>
      </c>
      <c r="H57" s="12" t="s">
        <v>78</v>
      </c>
      <c r="I57" s="12" t="s">
        <v>84</v>
      </c>
      <c r="J57" s="15">
        <f>MATCH(D57,Calculations!$A$5:$A$16,0)</f>
        <v>5</v>
      </c>
      <c r="K57" s="14">
        <f t="shared" si="0"/>
        <v>261000</v>
      </c>
      <c r="L57" s="14">
        <f t="shared" si="1"/>
        <v>145000</v>
      </c>
      <c r="M57" s="14">
        <f t="shared" si="2"/>
        <v>116000</v>
      </c>
      <c r="N57" s="16">
        <f t="shared" si="3"/>
        <v>0.44444444444444442</v>
      </c>
    </row>
    <row r="58" spans="1:14" ht="14.25" customHeight="1" x14ac:dyDescent="0.3">
      <c r="A58" s="17" t="s">
        <v>74</v>
      </c>
      <c r="B58" s="17" t="s">
        <v>98</v>
      </c>
      <c r="C58" s="17" t="s">
        <v>99</v>
      </c>
      <c r="D58" s="17" t="s">
        <v>87</v>
      </c>
      <c r="E58" s="18">
        <v>31</v>
      </c>
      <c r="F58" s="19">
        <v>9000</v>
      </c>
      <c r="G58" s="19">
        <v>5000</v>
      </c>
      <c r="H58" s="17" t="s">
        <v>81</v>
      </c>
      <c r="I58" s="17" t="s">
        <v>79</v>
      </c>
      <c r="J58" s="20">
        <f>MATCH(D58,Calculations!$A$5:$A$16,0)</f>
        <v>6</v>
      </c>
      <c r="K58" s="19">
        <f t="shared" si="0"/>
        <v>279000</v>
      </c>
      <c r="L58" s="19">
        <f t="shared" si="1"/>
        <v>155000</v>
      </c>
      <c r="M58" s="19">
        <f t="shared" si="2"/>
        <v>124000</v>
      </c>
      <c r="N58" s="21">
        <f t="shared" si="3"/>
        <v>0.44444444444444442</v>
      </c>
    </row>
    <row r="59" spans="1:14" ht="14.25" customHeight="1" x14ac:dyDescent="0.3">
      <c r="A59" s="12" t="s">
        <v>74</v>
      </c>
      <c r="B59" s="12" t="s">
        <v>98</v>
      </c>
      <c r="C59" s="12" t="s">
        <v>99</v>
      </c>
      <c r="D59" s="12" t="s">
        <v>88</v>
      </c>
      <c r="E59" s="13">
        <v>33</v>
      </c>
      <c r="F59" s="14">
        <v>9000</v>
      </c>
      <c r="G59" s="14">
        <v>5000</v>
      </c>
      <c r="H59" s="12" t="s">
        <v>78</v>
      </c>
      <c r="I59" s="12" t="s">
        <v>82</v>
      </c>
      <c r="J59" s="15">
        <f>MATCH(D59,Calculations!$A$5:$A$16,0)</f>
        <v>7</v>
      </c>
      <c r="K59" s="14">
        <f t="shared" si="0"/>
        <v>297000</v>
      </c>
      <c r="L59" s="14">
        <f t="shared" si="1"/>
        <v>165000</v>
      </c>
      <c r="M59" s="14">
        <f t="shared" si="2"/>
        <v>132000</v>
      </c>
      <c r="N59" s="16">
        <f t="shared" si="3"/>
        <v>0.44444444444444442</v>
      </c>
    </row>
    <row r="60" spans="1:14" ht="14.25" customHeight="1" x14ac:dyDescent="0.3">
      <c r="A60" s="17" t="s">
        <v>74</v>
      </c>
      <c r="B60" s="17" t="s">
        <v>98</v>
      </c>
      <c r="C60" s="17" t="s">
        <v>99</v>
      </c>
      <c r="D60" s="17" t="s">
        <v>89</v>
      </c>
      <c r="E60" s="18">
        <v>32</v>
      </c>
      <c r="F60" s="19">
        <v>9000</v>
      </c>
      <c r="G60" s="19">
        <v>5000</v>
      </c>
      <c r="H60" s="17" t="s">
        <v>81</v>
      </c>
      <c r="I60" s="17" t="s">
        <v>84</v>
      </c>
      <c r="J60" s="20">
        <f>MATCH(D60,Calculations!$A$5:$A$16,0)</f>
        <v>8</v>
      </c>
      <c r="K60" s="19">
        <f t="shared" si="0"/>
        <v>288000</v>
      </c>
      <c r="L60" s="19">
        <f t="shared" si="1"/>
        <v>160000</v>
      </c>
      <c r="M60" s="19">
        <f t="shared" si="2"/>
        <v>128000</v>
      </c>
      <c r="N60" s="21">
        <f t="shared" si="3"/>
        <v>0.44444444444444442</v>
      </c>
    </row>
    <row r="61" spans="1:14" ht="14.25" customHeight="1" x14ac:dyDescent="0.3">
      <c r="A61" s="12" t="s">
        <v>74</v>
      </c>
      <c r="B61" s="12" t="s">
        <v>98</v>
      </c>
      <c r="C61" s="12" t="s">
        <v>99</v>
      </c>
      <c r="D61" s="12" t="s">
        <v>90</v>
      </c>
      <c r="E61" s="13">
        <v>34</v>
      </c>
      <c r="F61" s="14">
        <v>9000</v>
      </c>
      <c r="G61" s="14">
        <v>5000</v>
      </c>
      <c r="H61" s="12" t="s">
        <v>78</v>
      </c>
      <c r="I61" s="12" t="s">
        <v>79</v>
      </c>
      <c r="J61" s="15">
        <f>MATCH(D61,Calculations!$A$5:$A$16,0)</f>
        <v>9</v>
      </c>
      <c r="K61" s="14">
        <f t="shared" si="0"/>
        <v>306000</v>
      </c>
      <c r="L61" s="14">
        <f t="shared" si="1"/>
        <v>170000</v>
      </c>
      <c r="M61" s="14">
        <f t="shared" si="2"/>
        <v>136000</v>
      </c>
      <c r="N61" s="16">
        <f t="shared" si="3"/>
        <v>0.44444444444444442</v>
      </c>
    </row>
    <row r="62" spans="1:14" ht="14.25" customHeight="1" x14ac:dyDescent="0.3">
      <c r="A62" s="17" t="s">
        <v>74</v>
      </c>
      <c r="B62" s="17" t="s">
        <v>98</v>
      </c>
      <c r="C62" s="17" t="s">
        <v>99</v>
      </c>
      <c r="D62" s="17" t="s">
        <v>91</v>
      </c>
      <c r="E62" s="18">
        <v>33</v>
      </c>
      <c r="F62" s="19">
        <v>9000</v>
      </c>
      <c r="G62" s="19">
        <v>5000</v>
      </c>
      <c r="H62" s="17" t="s">
        <v>81</v>
      </c>
      <c r="I62" s="17" t="s">
        <v>82</v>
      </c>
      <c r="J62" s="20">
        <f>MATCH(D62,Calculations!$A$5:$A$16,0)</f>
        <v>10</v>
      </c>
      <c r="K62" s="19">
        <f t="shared" si="0"/>
        <v>297000</v>
      </c>
      <c r="L62" s="19">
        <f t="shared" si="1"/>
        <v>165000</v>
      </c>
      <c r="M62" s="19">
        <f t="shared" si="2"/>
        <v>132000</v>
      </c>
      <c r="N62" s="21">
        <f t="shared" si="3"/>
        <v>0.44444444444444442</v>
      </c>
    </row>
    <row r="63" spans="1:14" ht="14.25" customHeight="1" x14ac:dyDescent="0.3">
      <c r="A63" s="12" t="s">
        <v>74</v>
      </c>
      <c r="B63" s="12" t="s">
        <v>98</v>
      </c>
      <c r="C63" s="12" t="s">
        <v>99</v>
      </c>
      <c r="D63" s="12" t="s">
        <v>92</v>
      </c>
      <c r="E63" s="13">
        <v>36</v>
      </c>
      <c r="F63" s="14">
        <v>9000</v>
      </c>
      <c r="G63" s="14">
        <v>5000</v>
      </c>
      <c r="H63" s="12" t="s">
        <v>78</v>
      </c>
      <c r="I63" s="12" t="s">
        <v>84</v>
      </c>
      <c r="J63" s="15">
        <f>MATCH(D63,Calculations!$A$5:$A$16,0)</f>
        <v>11</v>
      </c>
      <c r="K63" s="14">
        <f t="shared" si="0"/>
        <v>324000</v>
      </c>
      <c r="L63" s="14">
        <f t="shared" si="1"/>
        <v>180000</v>
      </c>
      <c r="M63" s="14">
        <f t="shared" si="2"/>
        <v>144000</v>
      </c>
      <c r="N63" s="16">
        <f t="shared" si="3"/>
        <v>0.44444444444444442</v>
      </c>
    </row>
    <row r="64" spans="1:14" ht="14.25" customHeight="1" x14ac:dyDescent="0.3">
      <c r="A64" s="17" t="s">
        <v>74</v>
      </c>
      <c r="B64" s="17" t="s">
        <v>98</v>
      </c>
      <c r="C64" s="17" t="s">
        <v>99</v>
      </c>
      <c r="D64" s="17" t="s">
        <v>93</v>
      </c>
      <c r="E64" s="18">
        <v>38</v>
      </c>
      <c r="F64" s="19">
        <v>9000</v>
      </c>
      <c r="G64" s="19">
        <v>5000</v>
      </c>
      <c r="H64" s="17" t="s">
        <v>81</v>
      </c>
      <c r="I64" s="17" t="s">
        <v>79</v>
      </c>
      <c r="J64" s="20">
        <f>MATCH(D64,Calculations!$A$5:$A$16,0)</f>
        <v>12</v>
      </c>
      <c r="K64" s="19">
        <f t="shared" si="0"/>
        <v>342000</v>
      </c>
      <c r="L64" s="19">
        <f t="shared" si="1"/>
        <v>190000</v>
      </c>
      <c r="M64" s="19">
        <f t="shared" si="2"/>
        <v>152000</v>
      </c>
      <c r="N64" s="21">
        <f t="shared" si="3"/>
        <v>0.44444444444444442</v>
      </c>
    </row>
    <row r="65" spans="1:14" ht="14.25" customHeight="1" x14ac:dyDescent="0.3">
      <c r="A65" s="12" t="s">
        <v>74</v>
      </c>
      <c r="B65" s="12" t="s">
        <v>100</v>
      </c>
      <c r="C65" s="12" t="s">
        <v>99</v>
      </c>
      <c r="D65" s="12" t="s">
        <v>77</v>
      </c>
      <c r="E65" s="13">
        <v>23</v>
      </c>
      <c r="F65" s="14">
        <v>7000</v>
      </c>
      <c r="G65" s="14">
        <v>4000</v>
      </c>
      <c r="H65" s="12" t="s">
        <v>81</v>
      </c>
      <c r="I65" s="12" t="s">
        <v>84</v>
      </c>
      <c r="J65" s="15">
        <f>MATCH(D65,Calculations!$A$5:$A$16,0)</f>
        <v>1</v>
      </c>
      <c r="K65" s="14">
        <f t="shared" si="0"/>
        <v>161000</v>
      </c>
      <c r="L65" s="14">
        <f t="shared" si="1"/>
        <v>92000</v>
      </c>
      <c r="M65" s="14">
        <f t="shared" si="2"/>
        <v>69000</v>
      </c>
      <c r="N65" s="16">
        <f t="shared" si="3"/>
        <v>0.42857142857142855</v>
      </c>
    </row>
    <row r="66" spans="1:14" ht="14.25" customHeight="1" x14ac:dyDescent="0.3">
      <c r="A66" s="17" t="s">
        <v>74</v>
      </c>
      <c r="B66" s="17" t="s">
        <v>100</v>
      </c>
      <c r="C66" s="17" t="s">
        <v>99</v>
      </c>
      <c r="D66" s="17" t="s">
        <v>80</v>
      </c>
      <c r="E66" s="18">
        <v>25</v>
      </c>
      <c r="F66" s="19">
        <v>7000</v>
      </c>
      <c r="G66" s="19">
        <v>4000</v>
      </c>
      <c r="H66" s="17" t="s">
        <v>78</v>
      </c>
      <c r="I66" s="17" t="s">
        <v>79</v>
      </c>
      <c r="J66" s="20">
        <f>MATCH(D66,Calculations!$A$5:$A$16,0)</f>
        <v>2</v>
      </c>
      <c r="K66" s="19">
        <f t="shared" si="0"/>
        <v>175000</v>
      </c>
      <c r="L66" s="19">
        <f t="shared" si="1"/>
        <v>100000</v>
      </c>
      <c r="M66" s="19">
        <f t="shared" si="2"/>
        <v>75000</v>
      </c>
      <c r="N66" s="21">
        <f t="shared" si="3"/>
        <v>0.42857142857142855</v>
      </c>
    </row>
    <row r="67" spans="1:14" ht="14.25" customHeight="1" x14ac:dyDescent="0.3">
      <c r="A67" s="12" t="s">
        <v>74</v>
      </c>
      <c r="B67" s="12" t="s">
        <v>100</v>
      </c>
      <c r="C67" s="12" t="s">
        <v>99</v>
      </c>
      <c r="D67" s="12" t="s">
        <v>83</v>
      </c>
      <c r="E67" s="13">
        <v>27</v>
      </c>
      <c r="F67" s="14">
        <v>7000</v>
      </c>
      <c r="G67" s="14">
        <v>4000</v>
      </c>
      <c r="H67" s="12" t="s">
        <v>81</v>
      </c>
      <c r="I67" s="12" t="s">
        <v>82</v>
      </c>
      <c r="J67" s="15">
        <f>MATCH(D67,Calculations!$A$5:$A$16,0)</f>
        <v>3</v>
      </c>
      <c r="K67" s="14">
        <f t="shared" si="0"/>
        <v>189000</v>
      </c>
      <c r="L67" s="14">
        <f t="shared" si="1"/>
        <v>108000</v>
      </c>
      <c r="M67" s="14">
        <f t="shared" si="2"/>
        <v>81000</v>
      </c>
      <c r="N67" s="16">
        <f t="shared" si="3"/>
        <v>0.42857142857142855</v>
      </c>
    </row>
    <row r="68" spans="1:14" ht="14.25" customHeight="1" x14ac:dyDescent="0.3">
      <c r="A68" s="17" t="s">
        <v>74</v>
      </c>
      <c r="B68" s="17" t="s">
        <v>100</v>
      </c>
      <c r="C68" s="17" t="s">
        <v>99</v>
      </c>
      <c r="D68" s="17" t="s">
        <v>85</v>
      </c>
      <c r="E68" s="18">
        <v>26</v>
      </c>
      <c r="F68" s="19">
        <v>7000</v>
      </c>
      <c r="G68" s="19">
        <v>4000</v>
      </c>
      <c r="H68" s="17" t="s">
        <v>78</v>
      </c>
      <c r="I68" s="17" t="s">
        <v>84</v>
      </c>
      <c r="J68" s="20">
        <f>MATCH(D68,Calculations!$A$5:$A$16,0)</f>
        <v>4</v>
      </c>
      <c r="K68" s="19">
        <f t="shared" si="0"/>
        <v>182000</v>
      </c>
      <c r="L68" s="19">
        <f t="shared" si="1"/>
        <v>104000</v>
      </c>
      <c r="M68" s="19">
        <f t="shared" si="2"/>
        <v>78000</v>
      </c>
      <c r="N68" s="21">
        <f t="shared" si="3"/>
        <v>0.42857142857142855</v>
      </c>
    </row>
    <row r="69" spans="1:14" ht="14.25" customHeight="1" x14ac:dyDescent="0.3">
      <c r="A69" s="12" t="s">
        <v>74</v>
      </c>
      <c r="B69" s="12" t="s">
        <v>100</v>
      </c>
      <c r="C69" s="12" t="s">
        <v>99</v>
      </c>
      <c r="D69" s="12" t="s">
        <v>86</v>
      </c>
      <c r="E69" s="13">
        <v>28</v>
      </c>
      <c r="F69" s="14">
        <v>7000</v>
      </c>
      <c r="G69" s="14">
        <v>4000</v>
      </c>
      <c r="H69" s="12" t="s">
        <v>81</v>
      </c>
      <c r="I69" s="12" t="s">
        <v>79</v>
      </c>
      <c r="J69" s="15">
        <f>MATCH(D69,Calculations!$A$5:$A$16,0)</f>
        <v>5</v>
      </c>
      <c r="K69" s="14">
        <f t="shared" ref="K69:K132" si="4">E69*F69</f>
        <v>196000</v>
      </c>
      <c r="L69" s="14">
        <f t="shared" ref="L69:L132" si="5">E69*G69</f>
        <v>112000</v>
      </c>
      <c r="M69" s="14">
        <f t="shared" ref="M69:M132" si="6">K69-L69</f>
        <v>84000</v>
      </c>
      <c r="N69" s="16">
        <f t="shared" ref="N69:N132" si="7">IFERROR(M69/K69,0)</f>
        <v>0.42857142857142855</v>
      </c>
    </row>
    <row r="70" spans="1:14" ht="14.25" customHeight="1" x14ac:dyDescent="0.3">
      <c r="A70" s="17" t="s">
        <v>74</v>
      </c>
      <c r="B70" s="17" t="s">
        <v>100</v>
      </c>
      <c r="C70" s="17" t="s">
        <v>99</v>
      </c>
      <c r="D70" s="17" t="s">
        <v>87</v>
      </c>
      <c r="E70" s="18">
        <v>27</v>
      </c>
      <c r="F70" s="19">
        <v>7000</v>
      </c>
      <c r="G70" s="19">
        <v>4000</v>
      </c>
      <c r="H70" s="17" t="s">
        <v>78</v>
      </c>
      <c r="I70" s="17" t="s">
        <v>82</v>
      </c>
      <c r="J70" s="20">
        <f>MATCH(D70,Calculations!$A$5:$A$16,0)</f>
        <v>6</v>
      </c>
      <c r="K70" s="19">
        <f t="shared" si="4"/>
        <v>189000</v>
      </c>
      <c r="L70" s="19">
        <f t="shared" si="5"/>
        <v>108000</v>
      </c>
      <c r="M70" s="19">
        <f t="shared" si="6"/>
        <v>81000</v>
      </c>
      <c r="N70" s="21">
        <f t="shared" si="7"/>
        <v>0.42857142857142855</v>
      </c>
    </row>
    <row r="71" spans="1:14" ht="14.25" customHeight="1" x14ac:dyDescent="0.3">
      <c r="A71" s="12" t="s">
        <v>74</v>
      </c>
      <c r="B71" s="12" t="s">
        <v>100</v>
      </c>
      <c r="C71" s="12" t="s">
        <v>99</v>
      </c>
      <c r="D71" s="12" t="s">
        <v>88</v>
      </c>
      <c r="E71" s="13">
        <v>29</v>
      </c>
      <c r="F71" s="14">
        <v>7000</v>
      </c>
      <c r="G71" s="14">
        <v>4000</v>
      </c>
      <c r="H71" s="12" t="s">
        <v>81</v>
      </c>
      <c r="I71" s="12" t="s">
        <v>84</v>
      </c>
      <c r="J71" s="15">
        <f>MATCH(D71,Calculations!$A$5:$A$16,0)</f>
        <v>7</v>
      </c>
      <c r="K71" s="14">
        <f t="shared" si="4"/>
        <v>203000</v>
      </c>
      <c r="L71" s="14">
        <f t="shared" si="5"/>
        <v>116000</v>
      </c>
      <c r="M71" s="14">
        <f t="shared" si="6"/>
        <v>87000</v>
      </c>
      <c r="N71" s="16">
        <f t="shared" si="7"/>
        <v>0.42857142857142855</v>
      </c>
    </row>
    <row r="72" spans="1:14" ht="14.25" customHeight="1" x14ac:dyDescent="0.3">
      <c r="A72" s="17" t="s">
        <v>74</v>
      </c>
      <c r="B72" s="17" t="s">
        <v>100</v>
      </c>
      <c r="C72" s="17" t="s">
        <v>99</v>
      </c>
      <c r="D72" s="17" t="s">
        <v>89</v>
      </c>
      <c r="E72" s="18">
        <v>31</v>
      </c>
      <c r="F72" s="19">
        <v>7000</v>
      </c>
      <c r="G72" s="19">
        <v>4000</v>
      </c>
      <c r="H72" s="17" t="s">
        <v>78</v>
      </c>
      <c r="I72" s="17" t="s">
        <v>79</v>
      </c>
      <c r="J72" s="20">
        <f>MATCH(D72,Calculations!$A$5:$A$16,0)</f>
        <v>8</v>
      </c>
      <c r="K72" s="19">
        <f t="shared" si="4"/>
        <v>217000</v>
      </c>
      <c r="L72" s="19">
        <f t="shared" si="5"/>
        <v>124000</v>
      </c>
      <c r="M72" s="19">
        <f t="shared" si="6"/>
        <v>93000</v>
      </c>
      <c r="N72" s="21">
        <f t="shared" si="7"/>
        <v>0.42857142857142855</v>
      </c>
    </row>
    <row r="73" spans="1:14" ht="14.25" customHeight="1" x14ac:dyDescent="0.3">
      <c r="A73" s="12" t="s">
        <v>74</v>
      </c>
      <c r="B73" s="12" t="s">
        <v>100</v>
      </c>
      <c r="C73" s="12" t="s">
        <v>99</v>
      </c>
      <c r="D73" s="12" t="s">
        <v>90</v>
      </c>
      <c r="E73" s="13">
        <v>30</v>
      </c>
      <c r="F73" s="14">
        <v>7000</v>
      </c>
      <c r="G73" s="14">
        <v>4000</v>
      </c>
      <c r="H73" s="12" t="s">
        <v>81</v>
      </c>
      <c r="I73" s="12" t="s">
        <v>82</v>
      </c>
      <c r="J73" s="15">
        <f>MATCH(D73,Calculations!$A$5:$A$16,0)</f>
        <v>9</v>
      </c>
      <c r="K73" s="14">
        <f t="shared" si="4"/>
        <v>210000</v>
      </c>
      <c r="L73" s="14">
        <f t="shared" si="5"/>
        <v>120000</v>
      </c>
      <c r="M73" s="14">
        <f t="shared" si="6"/>
        <v>90000</v>
      </c>
      <c r="N73" s="16">
        <f t="shared" si="7"/>
        <v>0.42857142857142855</v>
      </c>
    </row>
    <row r="74" spans="1:14" ht="14.25" customHeight="1" x14ac:dyDescent="0.3">
      <c r="A74" s="17" t="s">
        <v>74</v>
      </c>
      <c r="B74" s="17" t="s">
        <v>100</v>
      </c>
      <c r="C74" s="17" t="s">
        <v>99</v>
      </c>
      <c r="D74" s="17" t="s">
        <v>91</v>
      </c>
      <c r="E74" s="18">
        <v>32</v>
      </c>
      <c r="F74" s="19">
        <v>7000</v>
      </c>
      <c r="G74" s="19">
        <v>4000</v>
      </c>
      <c r="H74" s="17" t="s">
        <v>78</v>
      </c>
      <c r="I74" s="17" t="s">
        <v>84</v>
      </c>
      <c r="J74" s="20">
        <f>MATCH(D74,Calculations!$A$5:$A$16,0)</f>
        <v>10</v>
      </c>
      <c r="K74" s="19">
        <f t="shared" si="4"/>
        <v>224000</v>
      </c>
      <c r="L74" s="19">
        <f t="shared" si="5"/>
        <v>128000</v>
      </c>
      <c r="M74" s="19">
        <f t="shared" si="6"/>
        <v>96000</v>
      </c>
      <c r="N74" s="21">
        <f t="shared" si="7"/>
        <v>0.42857142857142855</v>
      </c>
    </row>
    <row r="75" spans="1:14" ht="14.25" customHeight="1" x14ac:dyDescent="0.3">
      <c r="A75" s="12" t="s">
        <v>74</v>
      </c>
      <c r="B75" s="12" t="s">
        <v>100</v>
      </c>
      <c r="C75" s="12" t="s">
        <v>99</v>
      </c>
      <c r="D75" s="12" t="s">
        <v>92</v>
      </c>
      <c r="E75" s="13">
        <v>31</v>
      </c>
      <c r="F75" s="14">
        <v>7000</v>
      </c>
      <c r="G75" s="14">
        <v>4000</v>
      </c>
      <c r="H75" s="12" t="s">
        <v>81</v>
      </c>
      <c r="I75" s="12" t="s">
        <v>79</v>
      </c>
      <c r="J75" s="15">
        <f>MATCH(D75,Calculations!$A$5:$A$16,0)</f>
        <v>11</v>
      </c>
      <c r="K75" s="14">
        <f t="shared" si="4"/>
        <v>217000</v>
      </c>
      <c r="L75" s="14">
        <f t="shared" si="5"/>
        <v>124000</v>
      </c>
      <c r="M75" s="14">
        <f t="shared" si="6"/>
        <v>93000</v>
      </c>
      <c r="N75" s="16">
        <f t="shared" si="7"/>
        <v>0.42857142857142855</v>
      </c>
    </row>
    <row r="76" spans="1:14" ht="14.25" customHeight="1" x14ac:dyDescent="0.3">
      <c r="A76" s="17" t="s">
        <v>74</v>
      </c>
      <c r="B76" s="17" t="s">
        <v>100</v>
      </c>
      <c r="C76" s="17" t="s">
        <v>99</v>
      </c>
      <c r="D76" s="17" t="s">
        <v>93</v>
      </c>
      <c r="E76" s="18">
        <v>34</v>
      </c>
      <c r="F76" s="19">
        <v>7000</v>
      </c>
      <c r="G76" s="19">
        <v>4000</v>
      </c>
      <c r="H76" s="17" t="s">
        <v>78</v>
      </c>
      <c r="I76" s="17" t="s">
        <v>82</v>
      </c>
      <c r="J76" s="20">
        <f>MATCH(D76,Calculations!$A$5:$A$16,0)</f>
        <v>12</v>
      </c>
      <c r="K76" s="19">
        <f t="shared" si="4"/>
        <v>238000</v>
      </c>
      <c r="L76" s="19">
        <f t="shared" si="5"/>
        <v>136000</v>
      </c>
      <c r="M76" s="19">
        <f t="shared" si="6"/>
        <v>102000</v>
      </c>
      <c r="N76" s="21">
        <f t="shared" si="7"/>
        <v>0.42857142857142855</v>
      </c>
    </row>
    <row r="77" spans="1:14" ht="14.25" customHeight="1" x14ac:dyDescent="0.3">
      <c r="A77" s="12" t="s">
        <v>74</v>
      </c>
      <c r="B77" s="12" t="s">
        <v>101</v>
      </c>
      <c r="C77" s="12" t="s">
        <v>95</v>
      </c>
      <c r="D77" s="12" t="s">
        <v>77</v>
      </c>
      <c r="E77" s="13">
        <v>62</v>
      </c>
      <c r="F77" s="14">
        <v>3000</v>
      </c>
      <c r="G77" s="14">
        <v>1800</v>
      </c>
      <c r="H77" s="12" t="s">
        <v>78</v>
      </c>
      <c r="I77" s="12" t="s">
        <v>79</v>
      </c>
      <c r="J77" s="15">
        <f>MATCH(D77,Calculations!$A$5:$A$16,0)</f>
        <v>1</v>
      </c>
      <c r="K77" s="14">
        <f t="shared" si="4"/>
        <v>186000</v>
      </c>
      <c r="L77" s="14">
        <f t="shared" si="5"/>
        <v>111600</v>
      </c>
      <c r="M77" s="14">
        <f t="shared" si="6"/>
        <v>74400</v>
      </c>
      <c r="N77" s="16">
        <f t="shared" si="7"/>
        <v>0.4</v>
      </c>
    </row>
    <row r="78" spans="1:14" ht="14.25" customHeight="1" x14ac:dyDescent="0.3">
      <c r="A78" s="17" t="s">
        <v>74</v>
      </c>
      <c r="B78" s="17" t="s">
        <v>101</v>
      </c>
      <c r="C78" s="17" t="s">
        <v>95</v>
      </c>
      <c r="D78" s="17" t="s">
        <v>80</v>
      </c>
      <c r="E78" s="18">
        <v>60</v>
      </c>
      <c r="F78" s="19">
        <v>3000</v>
      </c>
      <c r="G78" s="19">
        <v>1800</v>
      </c>
      <c r="H78" s="17" t="s">
        <v>81</v>
      </c>
      <c r="I78" s="17" t="s">
        <v>82</v>
      </c>
      <c r="J78" s="20">
        <f>MATCH(D78,Calculations!$A$5:$A$16,0)</f>
        <v>2</v>
      </c>
      <c r="K78" s="19">
        <f t="shared" si="4"/>
        <v>180000</v>
      </c>
      <c r="L78" s="19">
        <f t="shared" si="5"/>
        <v>108000</v>
      </c>
      <c r="M78" s="19">
        <f t="shared" si="6"/>
        <v>72000</v>
      </c>
      <c r="N78" s="21">
        <f t="shared" si="7"/>
        <v>0.4</v>
      </c>
    </row>
    <row r="79" spans="1:14" ht="14.25" customHeight="1" x14ac:dyDescent="0.3">
      <c r="A79" s="12" t="s">
        <v>74</v>
      </c>
      <c r="B79" s="12" t="s">
        <v>101</v>
      </c>
      <c r="C79" s="12" t="s">
        <v>95</v>
      </c>
      <c r="D79" s="12" t="s">
        <v>83</v>
      </c>
      <c r="E79" s="13">
        <v>65</v>
      </c>
      <c r="F79" s="14">
        <v>3000</v>
      </c>
      <c r="G79" s="14">
        <v>1800</v>
      </c>
      <c r="H79" s="12" t="s">
        <v>78</v>
      </c>
      <c r="I79" s="12" t="s">
        <v>84</v>
      </c>
      <c r="J79" s="15">
        <f>MATCH(D79,Calculations!$A$5:$A$16,0)</f>
        <v>3</v>
      </c>
      <c r="K79" s="14">
        <f t="shared" si="4"/>
        <v>195000</v>
      </c>
      <c r="L79" s="14">
        <f t="shared" si="5"/>
        <v>117000</v>
      </c>
      <c r="M79" s="14">
        <f t="shared" si="6"/>
        <v>78000</v>
      </c>
      <c r="N79" s="16">
        <f t="shared" si="7"/>
        <v>0.4</v>
      </c>
    </row>
    <row r="80" spans="1:14" ht="14.25" customHeight="1" x14ac:dyDescent="0.3">
      <c r="A80" s="17" t="s">
        <v>74</v>
      </c>
      <c r="B80" s="17" t="s">
        <v>101</v>
      </c>
      <c r="C80" s="17" t="s">
        <v>95</v>
      </c>
      <c r="D80" s="17" t="s">
        <v>85</v>
      </c>
      <c r="E80" s="18">
        <v>70</v>
      </c>
      <c r="F80" s="19">
        <v>3000</v>
      </c>
      <c r="G80" s="19">
        <v>1800</v>
      </c>
      <c r="H80" s="17" t="s">
        <v>81</v>
      </c>
      <c r="I80" s="17" t="s">
        <v>79</v>
      </c>
      <c r="J80" s="20">
        <f>MATCH(D80,Calculations!$A$5:$A$16,0)</f>
        <v>4</v>
      </c>
      <c r="K80" s="19">
        <f t="shared" si="4"/>
        <v>210000</v>
      </c>
      <c r="L80" s="19">
        <f t="shared" si="5"/>
        <v>126000</v>
      </c>
      <c r="M80" s="19">
        <f t="shared" si="6"/>
        <v>84000</v>
      </c>
      <c r="N80" s="21">
        <f t="shared" si="7"/>
        <v>0.4</v>
      </c>
    </row>
    <row r="81" spans="1:14" ht="14.25" customHeight="1" x14ac:dyDescent="0.3">
      <c r="A81" s="12" t="s">
        <v>74</v>
      </c>
      <c r="B81" s="12" t="s">
        <v>101</v>
      </c>
      <c r="C81" s="12" t="s">
        <v>95</v>
      </c>
      <c r="D81" s="12" t="s">
        <v>86</v>
      </c>
      <c r="E81" s="13">
        <v>68</v>
      </c>
      <c r="F81" s="14">
        <v>3000</v>
      </c>
      <c r="G81" s="14">
        <v>1800</v>
      </c>
      <c r="H81" s="12" t="s">
        <v>78</v>
      </c>
      <c r="I81" s="12" t="s">
        <v>82</v>
      </c>
      <c r="J81" s="15">
        <f>MATCH(D81,Calculations!$A$5:$A$16,0)</f>
        <v>5</v>
      </c>
      <c r="K81" s="14">
        <f t="shared" si="4"/>
        <v>204000</v>
      </c>
      <c r="L81" s="14">
        <f t="shared" si="5"/>
        <v>122400</v>
      </c>
      <c r="M81" s="14">
        <f t="shared" si="6"/>
        <v>81600</v>
      </c>
      <c r="N81" s="16">
        <f t="shared" si="7"/>
        <v>0.4</v>
      </c>
    </row>
    <row r="82" spans="1:14" ht="14.25" customHeight="1" x14ac:dyDescent="0.3">
      <c r="A82" s="17" t="s">
        <v>74</v>
      </c>
      <c r="B82" s="17" t="s">
        <v>101</v>
      </c>
      <c r="C82" s="17" t="s">
        <v>95</v>
      </c>
      <c r="D82" s="17" t="s">
        <v>87</v>
      </c>
      <c r="E82" s="18">
        <v>73</v>
      </c>
      <c r="F82" s="19">
        <v>3000</v>
      </c>
      <c r="G82" s="19">
        <v>1800</v>
      </c>
      <c r="H82" s="17" t="s">
        <v>81</v>
      </c>
      <c r="I82" s="17" t="s">
        <v>84</v>
      </c>
      <c r="J82" s="20">
        <f>MATCH(D82,Calculations!$A$5:$A$16,0)</f>
        <v>6</v>
      </c>
      <c r="K82" s="19">
        <f t="shared" si="4"/>
        <v>219000</v>
      </c>
      <c r="L82" s="19">
        <f t="shared" si="5"/>
        <v>131400</v>
      </c>
      <c r="M82" s="19">
        <f t="shared" si="6"/>
        <v>87600</v>
      </c>
      <c r="N82" s="21">
        <f t="shared" si="7"/>
        <v>0.4</v>
      </c>
    </row>
    <row r="83" spans="1:14" ht="14.25" customHeight="1" x14ac:dyDescent="0.3">
      <c r="A83" s="12" t="s">
        <v>74</v>
      </c>
      <c r="B83" s="12" t="s">
        <v>101</v>
      </c>
      <c r="C83" s="12" t="s">
        <v>95</v>
      </c>
      <c r="D83" s="12" t="s">
        <v>88</v>
      </c>
      <c r="E83" s="13">
        <v>70</v>
      </c>
      <c r="F83" s="14">
        <v>3000</v>
      </c>
      <c r="G83" s="14">
        <v>1800</v>
      </c>
      <c r="H83" s="12" t="s">
        <v>78</v>
      </c>
      <c r="I83" s="12" t="s">
        <v>79</v>
      </c>
      <c r="J83" s="15">
        <f>MATCH(D83,Calculations!$A$5:$A$16,0)</f>
        <v>7</v>
      </c>
      <c r="K83" s="14">
        <f t="shared" si="4"/>
        <v>210000</v>
      </c>
      <c r="L83" s="14">
        <f t="shared" si="5"/>
        <v>126000</v>
      </c>
      <c r="M83" s="14">
        <f t="shared" si="6"/>
        <v>84000</v>
      </c>
      <c r="N83" s="16">
        <f t="shared" si="7"/>
        <v>0.4</v>
      </c>
    </row>
    <row r="84" spans="1:14" ht="14.25" customHeight="1" x14ac:dyDescent="0.3">
      <c r="A84" s="17" t="s">
        <v>74</v>
      </c>
      <c r="B84" s="17" t="s">
        <v>101</v>
      </c>
      <c r="C84" s="17" t="s">
        <v>95</v>
      </c>
      <c r="D84" s="17" t="s">
        <v>89</v>
      </c>
      <c r="E84" s="18">
        <v>75</v>
      </c>
      <c r="F84" s="19">
        <v>3000</v>
      </c>
      <c r="G84" s="19">
        <v>1800</v>
      </c>
      <c r="H84" s="17" t="s">
        <v>81</v>
      </c>
      <c r="I84" s="17" t="s">
        <v>82</v>
      </c>
      <c r="J84" s="20">
        <f>MATCH(D84,Calculations!$A$5:$A$16,0)</f>
        <v>8</v>
      </c>
      <c r="K84" s="19">
        <f t="shared" si="4"/>
        <v>225000</v>
      </c>
      <c r="L84" s="19">
        <f t="shared" si="5"/>
        <v>135000</v>
      </c>
      <c r="M84" s="19">
        <f t="shared" si="6"/>
        <v>90000</v>
      </c>
      <c r="N84" s="21">
        <f t="shared" si="7"/>
        <v>0.4</v>
      </c>
    </row>
    <row r="85" spans="1:14" ht="14.25" customHeight="1" x14ac:dyDescent="0.3">
      <c r="A85" s="12" t="s">
        <v>74</v>
      </c>
      <c r="B85" s="12" t="s">
        <v>101</v>
      </c>
      <c r="C85" s="12" t="s">
        <v>95</v>
      </c>
      <c r="D85" s="12" t="s">
        <v>90</v>
      </c>
      <c r="E85" s="13">
        <v>81</v>
      </c>
      <c r="F85" s="14">
        <v>3000</v>
      </c>
      <c r="G85" s="14">
        <v>1800</v>
      </c>
      <c r="H85" s="12" t="s">
        <v>78</v>
      </c>
      <c r="I85" s="12" t="s">
        <v>84</v>
      </c>
      <c r="J85" s="15">
        <f>MATCH(D85,Calculations!$A$5:$A$16,0)</f>
        <v>9</v>
      </c>
      <c r="K85" s="14">
        <f t="shared" si="4"/>
        <v>243000</v>
      </c>
      <c r="L85" s="14">
        <f t="shared" si="5"/>
        <v>145800</v>
      </c>
      <c r="M85" s="14">
        <f t="shared" si="6"/>
        <v>97200</v>
      </c>
      <c r="N85" s="16">
        <f t="shared" si="7"/>
        <v>0.4</v>
      </c>
    </row>
    <row r="86" spans="1:14" ht="14.25" customHeight="1" x14ac:dyDescent="0.3">
      <c r="A86" s="17" t="s">
        <v>74</v>
      </c>
      <c r="B86" s="17" t="s">
        <v>101</v>
      </c>
      <c r="C86" s="17" t="s">
        <v>95</v>
      </c>
      <c r="D86" s="17" t="s">
        <v>91</v>
      </c>
      <c r="E86" s="18">
        <v>78</v>
      </c>
      <c r="F86" s="19">
        <v>3000</v>
      </c>
      <c r="G86" s="19">
        <v>1800</v>
      </c>
      <c r="H86" s="17" t="s">
        <v>81</v>
      </c>
      <c r="I86" s="17" t="s">
        <v>79</v>
      </c>
      <c r="J86" s="20">
        <f>MATCH(D86,Calculations!$A$5:$A$16,0)</f>
        <v>10</v>
      </c>
      <c r="K86" s="19">
        <f t="shared" si="4"/>
        <v>234000</v>
      </c>
      <c r="L86" s="19">
        <f t="shared" si="5"/>
        <v>140400</v>
      </c>
      <c r="M86" s="19">
        <f t="shared" si="6"/>
        <v>93600</v>
      </c>
      <c r="N86" s="21">
        <f t="shared" si="7"/>
        <v>0.4</v>
      </c>
    </row>
    <row r="87" spans="1:14" ht="14.25" customHeight="1" x14ac:dyDescent="0.3">
      <c r="A87" s="12" t="s">
        <v>74</v>
      </c>
      <c r="B87" s="12" t="s">
        <v>101</v>
      </c>
      <c r="C87" s="12" t="s">
        <v>95</v>
      </c>
      <c r="D87" s="12" t="s">
        <v>92</v>
      </c>
      <c r="E87" s="13">
        <v>83</v>
      </c>
      <c r="F87" s="14">
        <v>3000</v>
      </c>
      <c r="G87" s="14">
        <v>1800</v>
      </c>
      <c r="H87" s="12" t="s">
        <v>78</v>
      </c>
      <c r="I87" s="12" t="s">
        <v>82</v>
      </c>
      <c r="J87" s="15">
        <f>MATCH(D87,Calculations!$A$5:$A$16,0)</f>
        <v>11</v>
      </c>
      <c r="K87" s="14">
        <f t="shared" si="4"/>
        <v>249000</v>
      </c>
      <c r="L87" s="14">
        <f t="shared" si="5"/>
        <v>149400</v>
      </c>
      <c r="M87" s="14">
        <f t="shared" si="6"/>
        <v>99600</v>
      </c>
      <c r="N87" s="16">
        <f t="shared" si="7"/>
        <v>0.4</v>
      </c>
    </row>
    <row r="88" spans="1:14" ht="14.25" customHeight="1" x14ac:dyDescent="0.3">
      <c r="A88" s="17" t="s">
        <v>74</v>
      </c>
      <c r="B88" s="17" t="s">
        <v>101</v>
      </c>
      <c r="C88" s="17" t="s">
        <v>95</v>
      </c>
      <c r="D88" s="17" t="s">
        <v>93</v>
      </c>
      <c r="E88" s="18">
        <v>80</v>
      </c>
      <c r="F88" s="19">
        <v>3000</v>
      </c>
      <c r="G88" s="19">
        <v>1800</v>
      </c>
      <c r="H88" s="17" t="s">
        <v>81</v>
      </c>
      <c r="I88" s="17" t="s">
        <v>84</v>
      </c>
      <c r="J88" s="20">
        <f>MATCH(D88,Calculations!$A$5:$A$16,0)</f>
        <v>12</v>
      </c>
      <c r="K88" s="19">
        <f t="shared" si="4"/>
        <v>240000</v>
      </c>
      <c r="L88" s="19">
        <f t="shared" si="5"/>
        <v>144000</v>
      </c>
      <c r="M88" s="19">
        <f t="shared" si="6"/>
        <v>96000</v>
      </c>
      <c r="N88" s="21">
        <f t="shared" si="7"/>
        <v>0.4</v>
      </c>
    </row>
    <row r="89" spans="1:14" ht="14.25" customHeight="1" x14ac:dyDescent="0.3">
      <c r="A89" s="12" t="s">
        <v>74</v>
      </c>
      <c r="B89" s="12" t="s">
        <v>102</v>
      </c>
      <c r="C89" s="12" t="s">
        <v>99</v>
      </c>
      <c r="D89" s="12" t="s">
        <v>77</v>
      </c>
      <c r="E89" s="13">
        <v>38</v>
      </c>
      <c r="F89" s="14">
        <v>4000</v>
      </c>
      <c r="G89" s="14">
        <v>2200</v>
      </c>
      <c r="H89" s="12" t="s">
        <v>81</v>
      </c>
      <c r="I89" s="12" t="s">
        <v>82</v>
      </c>
      <c r="J89" s="15">
        <f>MATCH(D89,Calculations!$A$5:$A$16,0)</f>
        <v>1</v>
      </c>
      <c r="K89" s="14">
        <f t="shared" si="4"/>
        <v>152000</v>
      </c>
      <c r="L89" s="14">
        <f t="shared" si="5"/>
        <v>83600</v>
      </c>
      <c r="M89" s="14">
        <f t="shared" si="6"/>
        <v>68400</v>
      </c>
      <c r="N89" s="16">
        <f t="shared" si="7"/>
        <v>0.45</v>
      </c>
    </row>
    <row r="90" spans="1:14" ht="14.25" customHeight="1" x14ac:dyDescent="0.3">
      <c r="A90" s="17" t="s">
        <v>74</v>
      </c>
      <c r="B90" s="17" t="s">
        <v>102</v>
      </c>
      <c r="C90" s="17" t="s">
        <v>99</v>
      </c>
      <c r="D90" s="17" t="s">
        <v>80</v>
      </c>
      <c r="E90" s="18">
        <v>41</v>
      </c>
      <c r="F90" s="19">
        <v>4000</v>
      </c>
      <c r="G90" s="19">
        <v>2200</v>
      </c>
      <c r="H90" s="17" t="s">
        <v>78</v>
      </c>
      <c r="I90" s="17" t="s">
        <v>84</v>
      </c>
      <c r="J90" s="20">
        <f>MATCH(D90,Calculations!$A$5:$A$16,0)</f>
        <v>2</v>
      </c>
      <c r="K90" s="19">
        <f t="shared" si="4"/>
        <v>164000</v>
      </c>
      <c r="L90" s="19">
        <f t="shared" si="5"/>
        <v>90200</v>
      </c>
      <c r="M90" s="19">
        <f t="shared" si="6"/>
        <v>73800</v>
      </c>
      <c r="N90" s="21">
        <f t="shared" si="7"/>
        <v>0.45</v>
      </c>
    </row>
    <row r="91" spans="1:14" ht="14.25" customHeight="1" x14ac:dyDescent="0.3">
      <c r="A91" s="12" t="s">
        <v>74</v>
      </c>
      <c r="B91" s="12" t="s">
        <v>102</v>
      </c>
      <c r="C91" s="12" t="s">
        <v>99</v>
      </c>
      <c r="D91" s="12" t="s">
        <v>83</v>
      </c>
      <c r="E91" s="13">
        <v>40</v>
      </c>
      <c r="F91" s="14">
        <v>4000</v>
      </c>
      <c r="G91" s="14">
        <v>2200</v>
      </c>
      <c r="H91" s="12" t="s">
        <v>81</v>
      </c>
      <c r="I91" s="12" t="s">
        <v>79</v>
      </c>
      <c r="J91" s="15">
        <f>MATCH(D91,Calculations!$A$5:$A$16,0)</f>
        <v>3</v>
      </c>
      <c r="K91" s="14">
        <f t="shared" si="4"/>
        <v>160000</v>
      </c>
      <c r="L91" s="14">
        <f t="shared" si="5"/>
        <v>88000</v>
      </c>
      <c r="M91" s="14">
        <f t="shared" si="6"/>
        <v>72000</v>
      </c>
      <c r="N91" s="16">
        <f t="shared" si="7"/>
        <v>0.45</v>
      </c>
    </row>
    <row r="92" spans="1:14" ht="14.25" customHeight="1" x14ac:dyDescent="0.3">
      <c r="A92" s="17" t="s">
        <v>74</v>
      </c>
      <c r="B92" s="17" t="s">
        <v>102</v>
      </c>
      <c r="C92" s="17" t="s">
        <v>99</v>
      </c>
      <c r="D92" s="17" t="s">
        <v>85</v>
      </c>
      <c r="E92" s="18">
        <v>43</v>
      </c>
      <c r="F92" s="19">
        <v>4000</v>
      </c>
      <c r="G92" s="19">
        <v>2200</v>
      </c>
      <c r="H92" s="17" t="s">
        <v>78</v>
      </c>
      <c r="I92" s="17" t="s">
        <v>82</v>
      </c>
      <c r="J92" s="20">
        <f>MATCH(D92,Calculations!$A$5:$A$16,0)</f>
        <v>4</v>
      </c>
      <c r="K92" s="19">
        <f t="shared" si="4"/>
        <v>172000</v>
      </c>
      <c r="L92" s="19">
        <f t="shared" si="5"/>
        <v>94600</v>
      </c>
      <c r="M92" s="19">
        <f t="shared" si="6"/>
        <v>77400</v>
      </c>
      <c r="N92" s="21">
        <f t="shared" si="7"/>
        <v>0.45</v>
      </c>
    </row>
    <row r="93" spans="1:14" ht="14.25" customHeight="1" x14ac:dyDescent="0.3">
      <c r="A93" s="12" t="s">
        <v>74</v>
      </c>
      <c r="B93" s="12" t="s">
        <v>102</v>
      </c>
      <c r="C93" s="12" t="s">
        <v>99</v>
      </c>
      <c r="D93" s="12" t="s">
        <v>86</v>
      </c>
      <c r="E93" s="13">
        <v>46</v>
      </c>
      <c r="F93" s="14">
        <v>4000</v>
      </c>
      <c r="G93" s="14">
        <v>2200</v>
      </c>
      <c r="H93" s="12" t="s">
        <v>81</v>
      </c>
      <c r="I93" s="12" t="s">
        <v>84</v>
      </c>
      <c r="J93" s="15">
        <f>MATCH(D93,Calculations!$A$5:$A$16,0)</f>
        <v>5</v>
      </c>
      <c r="K93" s="14">
        <f t="shared" si="4"/>
        <v>184000</v>
      </c>
      <c r="L93" s="14">
        <f t="shared" si="5"/>
        <v>101200</v>
      </c>
      <c r="M93" s="14">
        <f t="shared" si="6"/>
        <v>82800</v>
      </c>
      <c r="N93" s="16">
        <f t="shared" si="7"/>
        <v>0.45</v>
      </c>
    </row>
    <row r="94" spans="1:14" ht="14.25" customHeight="1" x14ac:dyDescent="0.3">
      <c r="A94" s="17" t="s">
        <v>74</v>
      </c>
      <c r="B94" s="17" t="s">
        <v>102</v>
      </c>
      <c r="C94" s="17" t="s">
        <v>99</v>
      </c>
      <c r="D94" s="17" t="s">
        <v>87</v>
      </c>
      <c r="E94" s="18">
        <v>44</v>
      </c>
      <c r="F94" s="19">
        <v>4000</v>
      </c>
      <c r="G94" s="19">
        <v>2200</v>
      </c>
      <c r="H94" s="17" t="s">
        <v>78</v>
      </c>
      <c r="I94" s="17" t="s">
        <v>79</v>
      </c>
      <c r="J94" s="20">
        <f>MATCH(D94,Calculations!$A$5:$A$16,0)</f>
        <v>6</v>
      </c>
      <c r="K94" s="19">
        <f t="shared" si="4"/>
        <v>176000</v>
      </c>
      <c r="L94" s="19">
        <f t="shared" si="5"/>
        <v>96800</v>
      </c>
      <c r="M94" s="19">
        <f t="shared" si="6"/>
        <v>79200</v>
      </c>
      <c r="N94" s="21">
        <f t="shared" si="7"/>
        <v>0.45</v>
      </c>
    </row>
    <row r="95" spans="1:14" ht="14.25" customHeight="1" x14ac:dyDescent="0.3">
      <c r="A95" s="12" t="s">
        <v>74</v>
      </c>
      <c r="B95" s="12" t="s">
        <v>102</v>
      </c>
      <c r="C95" s="12" t="s">
        <v>99</v>
      </c>
      <c r="D95" s="12" t="s">
        <v>88</v>
      </c>
      <c r="E95" s="13">
        <v>48</v>
      </c>
      <c r="F95" s="14">
        <v>4000</v>
      </c>
      <c r="G95" s="14">
        <v>2200</v>
      </c>
      <c r="H95" s="12" t="s">
        <v>81</v>
      </c>
      <c r="I95" s="12" t="s">
        <v>82</v>
      </c>
      <c r="J95" s="15">
        <f>MATCH(D95,Calculations!$A$5:$A$16,0)</f>
        <v>7</v>
      </c>
      <c r="K95" s="14">
        <f t="shared" si="4"/>
        <v>192000</v>
      </c>
      <c r="L95" s="14">
        <f t="shared" si="5"/>
        <v>105600</v>
      </c>
      <c r="M95" s="14">
        <f t="shared" si="6"/>
        <v>86400</v>
      </c>
      <c r="N95" s="16">
        <f t="shared" si="7"/>
        <v>0.45</v>
      </c>
    </row>
    <row r="96" spans="1:14" ht="14.25" customHeight="1" x14ac:dyDescent="0.3">
      <c r="A96" s="17" t="s">
        <v>74</v>
      </c>
      <c r="B96" s="17" t="s">
        <v>102</v>
      </c>
      <c r="C96" s="17" t="s">
        <v>99</v>
      </c>
      <c r="D96" s="17" t="s">
        <v>89</v>
      </c>
      <c r="E96" s="18">
        <v>46</v>
      </c>
      <c r="F96" s="19">
        <v>4000</v>
      </c>
      <c r="G96" s="19">
        <v>2200</v>
      </c>
      <c r="H96" s="17" t="s">
        <v>78</v>
      </c>
      <c r="I96" s="17" t="s">
        <v>84</v>
      </c>
      <c r="J96" s="20">
        <f>MATCH(D96,Calculations!$A$5:$A$16,0)</f>
        <v>8</v>
      </c>
      <c r="K96" s="19">
        <f t="shared" si="4"/>
        <v>184000</v>
      </c>
      <c r="L96" s="19">
        <f t="shared" si="5"/>
        <v>101200</v>
      </c>
      <c r="M96" s="19">
        <f t="shared" si="6"/>
        <v>82800</v>
      </c>
      <c r="N96" s="21">
        <f t="shared" si="7"/>
        <v>0.45</v>
      </c>
    </row>
    <row r="97" spans="1:14" ht="14.25" customHeight="1" x14ac:dyDescent="0.3">
      <c r="A97" s="12" t="s">
        <v>74</v>
      </c>
      <c r="B97" s="12" t="s">
        <v>102</v>
      </c>
      <c r="C97" s="12" t="s">
        <v>99</v>
      </c>
      <c r="D97" s="12" t="s">
        <v>90</v>
      </c>
      <c r="E97" s="13">
        <v>49</v>
      </c>
      <c r="F97" s="14">
        <v>4000</v>
      </c>
      <c r="G97" s="14">
        <v>2200</v>
      </c>
      <c r="H97" s="12" t="s">
        <v>81</v>
      </c>
      <c r="I97" s="12" t="s">
        <v>79</v>
      </c>
      <c r="J97" s="15">
        <f>MATCH(D97,Calculations!$A$5:$A$16,0)</f>
        <v>9</v>
      </c>
      <c r="K97" s="14">
        <f t="shared" si="4"/>
        <v>196000</v>
      </c>
      <c r="L97" s="14">
        <f t="shared" si="5"/>
        <v>107800</v>
      </c>
      <c r="M97" s="14">
        <f t="shared" si="6"/>
        <v>88200</v>
      </c>
      <c r="N97" s="16">
        <f t="shared" si="7"/>
        <v>0.45</v>
      </c>
    </row>
    <row r="98" spans="1:14" ht="14.25" customHeight="1" x14ac:dyDescent="0.3">
      <c r="A98" s="17" t="s">
        <v>74</v>
      </c>
      <c r="B98" s="17" t="s">
        <v>102</v>
      </c>
      <c r="C98" s="17" t="s">
        <v>99</v>
      </c>
      <c r="D98" s="17" t="s">
        <v>91</v>
      </c>
      <c r="E98" s="18">
        <v>53</v>
      </c>
      <c r="F98" s="19">
        <v>4000</v>
      </c>
      <c r="G98" s="19">
        <v>2200</v>
      </c>
      <c r="H98" s="17" t="s">
        <v>78</v>
      </c>
      <c r="I98" s="17" t="s">
        <v>82</v>
      </c>
      <c r="J98" s="20">
        <f>MATCH(D98,Calculations!$A$5:$A$16,0)</f>
        <v>10</v>
      </c>
      <c r="K98" s="19">
        <f t="shared" si="4"/>
        <v>212000</v>
      </c>
      <c r="L98" s="19">
        <f t="shared" si="5"/>
        <v>116600</v>
      </c>
      <c r="M98" s="19">
        <f t="shared" si="6"/>
        <v>95400</v>
      </c>
      <c r="N98" s="21">
        <f t="shared" si="7"/>
        <v>0.45</v>
      </c>
    </row>
    <row r="99" spans="1:14" ht="14.25" customHeight="1" x14ac:dyDescent="0.3">
      <c r="A99" s="12" t="s">
        <v>74</v>
      </c>
      <c r="B99" s="12" t="s">
        <v>102</v>
      </c>
      <c r="C99" s="12" t="s">
        <v>99</v>
      </c>
      <c r="D99" s="12" t="s">
        <v>92</v>
      </c>
      <c r="E99" s="13">
        <v>51</v>
      </c>
      <c r="F99" s="14">
        <v>4000</v>
      </c>
      <c r="G99" s="14">
        <v>2200</v>
      </c>
      <c r="H99" s="12" t="s">
        <v>81</v>
      </c>
      <c r="I99" s="12" t="s">
        <v>84</v>
      </c>
      <c r="J99" s="15">
        <f>MATCH(D99,Calculations!$A$5:$A$16,0)</f>
        <v>11</v>
      </c>
      <c r="K99" s="14">
        <f t="shared" si="4"/>
        <v>204000</v>
      </c>
      <c r="L99" s="14">
        <f t="shared" si="5"/>
        <v>112200</v>
      </c>
      <c r="M99" s="14">
        <f t="shared" si="6"/>
        <v>91800</v>
      </c>
      <c r="N99" s="16">
        <f t="shared" si="7"/>
        <v>0.45</v>
      </c>
    </row>
    <row r="100" spans="1:14" ht="14.25" customHeight="1" x14ac:dyDescent="0.3">
      <c r="A100" s="17" t="s">
        <v>74</v>
      </c>
      <c r="B100" s="17" t="s">
        <v>102</v>
      </c>
      <c r="C100" s="17" t="s">
        <v>99</v>
      </c>
      <c r="D100" s="17" t="s">
        <v>93</v>
      </c>
      <c r="E100" s="18">
        <v>54</v>
      </c>
      <c r="F100" s="19">
        <v>4000</v>
      </c>
      <c r="G100" s="19">
        <v>2200</v>
      </c>
      <c r="H100" s="17" t="s">
        <v>78</v>
      </c>
      <c r="I100" s="17" t="s">
        <v>79</v>
      </c>
      <c r="J100" s="20">
        <f>MATCH(D100,Calculations!$A$5:$A$16,0)</f>
        <v>12</v>
      </c>
      <c r="K100" s="19">
        <f t="shared" si="4"/>
        <v>216000</v>
      </c>
      <c r="L100" s="19">
        <f t="shared" si="5"/>
        <v>118800</v>
      </c>
      <c r="M100" s="19">
        <f t="shared" si="6"/>
        <v>97200</v>
      </c>
      <c r="N100" s="21">
        <f t="shared" si="7"/>
        <v>0.45</v>
      </c>
    </row>
    <row r="101" spans="1:14" ht="14.25" customHeight="1" x14ac:dyDescent="0.3">
      <c r="A101" s="12" t="s">
        <v>103</v>
      </c>
      <c r="B101" s="12" t="s">
        <v>75</v>
      </c>
      <c r="C101" s="12" t="s">
        <v>76</v>
      </c>
      <c r="D101" s="12" t="s">
        <v>77</v>
      </c>
      <c r="E101" s="13">
        <v>33</v>
      </c>
      <c r="F101" s="14">
        <v>25000</v>
      </c>
      <c r="G101" s="14">
        <v>17000</v>
      </c>
      <c r="H101" s="12" t="s">
        <v>104</v>
      </c>
      <c r="I101" s="12" t="s">
        <v>105</v>
      </c>
      <c r="J101" s="15">
        <f>MATCH(D101,Calculations!$A$5:$A$16,0)</f>
        <v>1</v>
      </c>
      <c r="K101" s="14">
        <f t="shared" si="4"/>
        <v>825000</v>
      </c>
      <c r="L101" s="14">
        <f t="shared" si="5"/>
        <v>561000</v>
      </c>
      <c r="M101" s="14">
        <f t="shared" si="6"/>
        <v>264000</v>
      </c>
      <c r="N101" s="16">
        <f t="shared" si="7"/>
        <v>0.32</v>
      </c>
    </row>
    <row r="102" spans="1:14" ht="14.25" customHeight="1" x14ac:dyDescent="0.3">
      <c r="A102" s="17" t="s">
        <v>103</v>
      </c>
      <c r="B102" s="17" t="s">
        <v>75</v>
      </c>
      <c r="C102" s="17" t="s">
        <v>76</v>
      </c>
      <c r="D102" s="17" t="s">
        <v>80</v>
      </c>
      <c r="E102" s="18">
        <v>36</v>
      </c>
      <c r="F102" s="19">
        <v>25000</v>
      </c>
      <c r="G102" s="19">
        <v>17000</v>
      </c>
      <c r="H102" s="17" t="s">
        <v>106</v>
      </c>
      <c r="I102" s="17" t="s">
        <v>107</v>
      </c>
      <c r="J102" s="20">
        <f>MATCH(D102,Calculations!$A$5:$A$16,0)</f>
        <v>2</v>
      </c>
      <c r="K102" s="19">
        <f t="shared" si="4"/>
        <v>900000</v>
      </c>
      <c r="L102" s="19">
        <f t="shared" si="5"/>
        <v>612000</v>
      </c>
      <c r="M102" s="19">
        <f t="shared" si="6"/>
        <v>288000</v>
      </c>
      <c r="N102" s="21">
        <f t="shared" si="7"/>
        <v>0.32</v>
      </c>
    </row>
    <row r="103" spans="1:14" ht="14.25" customHeight="1" x14ac:dyDescent="0.3">
      <c r="A103" s="12" t="s">
        <v>103</v>
      </c>
      <c r="B103" s="12" t="s">
        <v>75</v>
      </c>
      <c r="C103" s="12" t="s">
        <v>76</v>
      </c>
      <c r="D103" s="12" t="s">
        <v>83</v>
      </c>
      <c r="E103" s="13">
        <v>35</v>
      </c>
      <c r="F103" s="14">
        <v>25000</v>
      </c>
      <c r="G103" s="14">
        <v>17000</v>
      </c>
      <c r="H103" s="12" t="s">
        <v>104</v>
      </c>
      <c r="I103" s="12" t="s">
        <v>108</v>
      </c>
      <c r="J103" s="15">
        <f>MATCH(D103,Calculations!$A$5:$A$16,0)</f>
        <v>3</v>
      </c>
      <c r="K103" s="14">
        <f t="shared" si="4"/>
        <v>875000</v>
      </c>
      <c r="L103" s="14">
        <f t="shared" si="5"/>
        <v>595000</v>
      </c>
      <c r="M103" s="14">
        <f t="shared" si="6"/>
        <v>280000</v>
      </c>
      <c r="N103" s="16">
        <f t="shared" si="7"/>
        <v>0.32</v>
      </c>
    </row>
    <row r="104" spans="1:14" ht="14.25" customHeight="1" x14ac:dyDescent="0.3">
      <c r="A104" s="17" t="s">
        <v>103</v>
      </c>
      <c r="B104" s="17" t="s">
        <v>75</v>
      </c>
      <c r="C104" s="17" t="s">
        <v>76</v>
      </c>
      <c r="D104" s="17" t="s">
        <v>85</v>
      </c>
      <c r="E104" s="18">
        <v>37</v>
      </c>
      <c r="F104" s="19">
        <v>25000</v>
      </c>
      <c r="G104" s="19">
        <v>17000</v>
      </c>
      <c r="H104" s="17" t="s">
        <v>106</v>
      </c>
      <c r="I104" s="17" t="s">
        <v>105</v>
      </c>
      <c r="J104" s="20">
        <f>MATCH(D104,Calculations!$A$5:$A$16,0)</f>
        <v>4</v>
      </c>
      <c r="K104" s="19">
        <f t="shared" si="4"/>
        <v>925000</v>
      </c>
      <c r="L104" s="19">
        <f t="shared" si="5"/>
        <v>629000</v>
      </c>
      <c r="M104" s="19">
        <f t="shared" si="6"/>
        <v>296000</v>
      </c>
      <c r="N104" s="21">
        <f t="shared" si="7"/>
        <v>0.32</v>
      </c>
    </row>
    <row r="105" spans="1:14" ht="14.25" customHeight="1" x14ac:dyDescent="0.3">
      <c r="A105" s="12" t="s">
        <v>103</v>
      </c>
      <c r="B105" s="12" t="s">
        <v>75</v>
      </c>
      <c r="C105" s="12" t="s">
        <v>76</v>
      </c>
      <c r="D105" s="12" t="s">
        <v>86</v>
      </c>
      <c r="E105" s="13">
        <v>40</v>
      </c>
      <c r="F105" s="14">
        <v>25000</v>
      </c>
      <c r="G105" s="14">
        <v>17000</v>
      </c>
      <c r="H105" s="12" t="s">
        <v>104</v>
      </c>
      <c r="I105" s="12" t="s">
        <v>107</v>
      </c>
      <c r="J105" s="15">
        <f>MATCH(D105,Calculations!$A$5:$A$16,0)</f>
        <v>5</v>
      </c>
      <c r="K105" s="14">
        <f t="shared" si="4"/>
        <v>1000000</v>
      </c>
      <c r="L105" s="14">
        <f t="shared" si="5"/>
        <v>680000</v>
      </c>
      <c r="M105" s="14">
        <f t="shared" si="6"/>
        <v>320000</v>
      </c>
      <c r="N105" s="16">
        <f t="shared" si="7"/>
        <v>0.32</v>
      </c>
    </row>
    <row r="106" spans="1:14" ht="14.25" customHeight="1" x14ac:dyDescent="0.3">
      <c r="A106" s="17" t="s">
        <v>103</v>
      </c>
      <c r="B106" s="17" t="s">
        <v>75</v>
      </c>
      <c r="C106" s="17" t="s">
        <v>76</v>
      </c>
      <c r="D106" s="17" t="s">
        <v>87</v>
      </c>
      <c r="E106" s="18">
        <v>39</v>
      </c>
      <c r="F106" s="19">
        <v>25000</v>
      </c>
      <c r="G106" s="19">
        <v>17000</v>
      </c>
      <c r="H106" s="17" t="s">
        <v>106</v>
      </c>
      <c r="I106" s="17" t="s">
        <v>108</v>
      </c>
      <c r="J106" s="20">
        <f>MATCH(D106,Calculations!$A$5:$A$16,0)</f>
        <v>6</v>
      </c>
      <c r="K106" s="19">
        <f t="shared" si="4"/>
        <v>975000</v>
      </c>
      <c r="L106" s="19">
        <f t="shared" si="5"/>
        <v>663000</v>
      </c>
      <c r="M106" s="19">
        <f t="shared" si="6"/>
        <v>312000</v>
      </c>
      <c r="N106" s="21">
        <f t="shared" si="7"/>
        <v>0.32</v>
      </c>
    </row>
    <row r="107" spans="1:14" ht="14.25" customHeight="1" x14ac:dyDescent="0.3">
      <c r="A107" s="12" t="s">
        <v>103</v>
      </c>
      <c r="B107" s="12" t="s">
        <v>75</v>
      </c>
      <c r="C107" s="12" t="s">
        <v>76</v>
      </c>
      <c r="D107" s="12" t="s">
        <v>88</v>
      </c>
      <c r="E107" s="13">
        <v>42</v>
      </c>
      <c r="F107" s="14">
        <v>25000</v>
      </c>
      <c r="G107" s="14">
        <v>17000</v>
      </c>
      <c r="H107" s="12" t="s">
        <v>104</v>
      </c>
      <c r="I107" s="12" t="s">
        <v>105</v>
      </c>
      <c r="J107" s="15">
        <f>MATCH(D107,Calculations!$A$5:$A$16,0)</f>
        <v>7</v>
      </c>
      <c r="K107" s="14">
        <f t="shared" si="4"/>
        <v>1050000</v>
      </c>
      <c r="L107" s="14">
        <f t="shared" si="5"/>
        <v>714000</v>
      </c>
      <c r="M107" s="14">
        <f t="shared" si="6"/>
        <v>336000</v>
      </c>
      <c r="N107" s="16">
        <f t="shared" si="7"/>
        <v>0.32</v>
      </c>
    </row>
    <row r="108" spans="1:14" ht="14.25" customHeight="1" x14ac:dyDescent="0.3">
      <c r="A108" s="17" t="s">
        <v>103</v>
      </c>
      <c r="B108" s="17" t="s">
        <v>75</v>
      </c>
      <c r="C108" s="17" t="s">
        <v>76</v>
      </c>
      <c r="D108" s="17" t="s">
        <v>89</v>
      </c>
      <c r="E108" s="18">
        <v>40</v>
      </c>
      <c r="F108" s="19">
        <v>25000</v>
      </c>
      <c r="G108" s="19">
        <v>17000</v>
      </c>
      <c r="H108" s="17" t="s">
        <v>106</v>
      </c>
      <c r="I108" s="17" t="s">
        <v>107</v>
      </c>
      <c r="J108" s="20">
        <f>MATCH(D108,Calculations!$A$5:$A$16,0)</f>
        <v>8</v>
      </c>
      <c r="K108" s="19">
        <f t="shared" si="4"/>
        <v>1000000</v>
      </c>
      <c r="L108" s="19">
        <f t="shared" si="5"/>
        <v>680000</v>
      </c>
      <c r="M108" s="19">
        <f t="shared" si="6"/>
        <v>320000</v>
      </c>
      <c r="N108" s="21">
        <f t="shared" si="7"/>
        <v>0.32</v>
      </c>
    </row>
    <row r="109" spans="1:14" ht="14.25" customHeight="1" x14ac:dyDescent="0.3">
      <c r="A109" s="12" t="s">
        <v>103</v>
      </c>
      <c r="B109" s="12" t="s">
        <v>75</v>
      </c>
      <c r="C109" s="12" t="s">
        <v>76</v>
      </c>
      <c r="D109" s="12" t="s">
        <v>90</v>
      </c>
      <c r="E109" s="13">
        <v>43</v>
      </c>
      <c r="F109" s="14">
        <v>25000</v>
      </c>
      <c r="G109" s="14">
        <v>17000</v>
      </c>
      <c r="H109" s="12" t="s">
        <v>104</v>
      </c>
      <c r="I109" s="12" t="s">
        <v>108</v>
      </c>
      <c r="J109" s="15">
        <f>MATCH(D109,Calculations!$A$5:$A$16,0)</f>
        <v>9</v>
      </c>
      <c r="K109" s="14">
        <f t="shared" si="4"/>
        <v>1075000</v>
      </c>
      <c r="L109" s="14">
        <f t="shared" si="5"/>
        <v>731000</v>
      </c>
      <c r="M109" s="14">
        <f t="shared" si="6"/>
        <v>344000</v>
      </c>
      <c r="N109" s="16">
        <f t="shared" si="7"/>
        <v>0.32</v>
      </c>
    </row>
    <row r="110" spans="1:14" ht="14.25" customHeight="1" x14ac:dyDescent="0.3">
      <c r="A110" s="17" t="s">
        <v>103</v>
      </c>
      <c r="B110" s="17" t="s">
        <v>75</v>
      </c>
      <c r="C110" s="17" t="s">
        <v>76</v>
      </c>
      <c r="D110" s="17" t="s">
        <v>91</v>
      </c>
      <c r="E110" s="18">
        <v>46</v>
      </c>
      <c r="F110" s="19">
        <v>25000</v>
      </c>
      <c r="G110" s="19">
        <v>17000</v>
      </c>
      <c r="H110" s="17" t="s">
        <v>106</v>
      </c>
      <c r="I110" s="17" t="s">
        <v>105</v>
      </c>
      <c r="J110" s="20">
        <f>MATCH(D110,Calculations!$A$5:$A$16,0)</f>
        <v>10</v>
      </c>
      <c r="K110" s="19">
        <f t="shared" si="4"/>
        <v>1150000</v>
      </c>
      <c r="L110" s="19">
        <f t="shared" si="5"/>
        <v>782000</v>
      </c>
      <c r="M110" s="19">
        <f t="shared" si="6"/>
        <v>368000</v>
      </c>
      <c r="N110" s="21">
        <f t="shared" si="7"/>
        <v>0.32</v>
      </c>
    </row>
    <row r="111" spans="1:14" ht="14.25" customHeight="1" x14ac:dyDescent="0.3">
      <c r="A111" s="12" t="s">
        <v>103</v>
      </c>
      <c r="B111" s="12" t="s">
        <v>75</v>
      </c>
      <c r="C111" s="12" t="s">
        <v>76</v>
      </c>
      <c r="D111" s="12" t="s">
        <v>92</v>
      </c>
      <c r="E111" s="13">
        <v>45</v>
      </c>
      <c r="F111" s="14">
        <v>25000</v>
      </c>
      <c r="G111" s="14">
        <v>17000</v>
      </c>
      <c r="H111" s="12" t="s">
        <v>104</v>
      </c>
      <c r="I111" s="12" t="s">
        <v>107</v>
      </c>
      <c r="J111" s="15">
        <f>MATCH(D111,Calculations!$A$5:$A$16,0)</f>
        <v>11</v>
      </c>
      <c r="K111" s="14">
        <f t="shared" si="4"/>
        <v>1125000</v>
      </c>
      <c r="L111" s="14">
        <f t="shared" si="5"/>
        <v>765000</v>
      </c>
      <c r="M111" s="14">
        <f t="shared" si="6"/>
        <v>360000</v>
      </c>
      <c r="N111" s="16">
        <f t="shared" si="7"/>
        <v>0.32</v>
      </c>
    </row>
    <row r="112" spans="1:14" ht="14.25" customHeight="1" x14ac:dyDescent="0.3">
      <c r="A112" s="17" t="s">
        <v>103</v>
      </c>
      <c r="B112" s="17" t="s">
        <v>75</v>
      </c>
      <c r="C112" s="17" t="s">
        <v>76</v>
      </c>
      <c r="D112" s="17" t="s">
        <v>93</v>
      </c>
      <c r="E112" s="18">
        <v>48</v>
      </c>
      <c r="F112" s="19">
        <v>25000</v>
      </c>
      <c r="G112" s="19">
        <v>17000</v>
      </c>
      <c r="H112" s="17" t="s">
        <v>106</v>
      </c>
      <c r="I112" s="17" t="s">
        <v>108</v>
      </c>
      <c r="J112" s="20">
        <f>MATCH(D112,Calculations!$A$5:$A$16,0)</f>
        <v>12</v>
      </c>
      <c r="K112" s="19">
        <f t="shared" si="4"/>
        <v>1200000</v>
      </c>
      <c r="L112" s="19">
        <f t="shared" si="5"/>
        <v>816000</v>
      </c>
      <c r="M112" s="19">
        <f t="shared" si="6"/>
        <v>384000</v>
      </c>
      <c r="N112" s="21">
        <f t="shared" si="7"/>
        <v>0.32</v>
      </c>
    </row>
    <row r="113" spans="1:14" ht="14.25" customHeight="1" x14ac:dyDescent="0.3">
      <c r="A113" s="12" t="s">
        <v>103</v>
      </c>
      <c r="B113" s="12" t="s">
        <v>94</v>
      </c>
      <c r="C113" s="12" t="s">
        <v>95</v>
      </c>
      <c r="D113" s="12" t="s">
        <v>77</v>
      </c>
      <c r="E113" s="13">
        <v>84</v>
      </c>
      <c r="F113" s="14">
        <v>5000</v>
      </c>
      <c r="G113" s="14">
        <v>3000</v>
      </c>
      <c r="H113" s="12" t="s">
        <v>106</v>
      </c>
      <c r="I113" s="12" t="s">
        <v>107</v>
      </c>
      <c r="J113" s="15">
        <f>MATCH(D113,Calculations!$A$5:$A$16,0)</f>
        <v>1</v>
      </c>
      <c r="K113" s="14">
        <f t="shared" si="4"/>
        <v>420000</v>
      </c>
      <c r="L113" s="14">
        <f t="shared" si="5"/>
        <v>252000</v>
      </c>
      <c r="M113" s="14">
        <f t="shared" si="6"/>
        <v>168000</v>
      </c>
      <c r="N113" s="16">
        <f t="shared" si="7"/>
        <v>0.4</v>
      </c>
    </row>
    <row r="114" spans="1:14" ht="14.25" customHeight="1" x14ac:dyDescent="0.3">
      <c r="A114" s="17" t="s">
        <v>103</v>
      </c>
      <c r="B114" s="17" t="s">
        <v>94</v>
      </c>
      <c r="C114" s="17" t="s">
        <v>95</v>
      </c>
      <c r="D114" s="17" t="s">
        <v>80</v>
      </c>
      <c r="E114" s="18">
        <v>82</v>
      </c>
      <c r="F114" s="19">
        <v>5000</v>
      </c>
      <c r="G114" s="19">
        <v>3000</v>
      </c>
      <c r="H114" s="17" t="s">
        <v>104</v>
      </c>
      <c r="I114" s="17" t="s">
        <v>108</v>
      </c>
      <c r="J114" s="20">
        <f>MATCH(D114,Calculations!$A$5:$A$16,0)</f>
        <v>2</v>
      </c>
      <c r="K114" s="19">
        <f t="shared" si="4"/>
        <v>410000</v>
      </c>
      <c r="L114" s="19">
        <f t="shared" si="5"/>
        <v>246000</v>
      </c>
      <c r="M114" s="19">
        <f t="shared" si="6"/>
        <v>164000</v>
      </c>
      <c r="N114" s="21">
        <f t="shared" si="7"/>
        <v>0.4</v>
      </c>
    </row>
    <row r="115" spans="1:14" ht="14.25" customHeight="1" x14ac:dyDescent="0.3">
      <c r="A115" s="12" t="s">
        <v>103</v>
      </c>
      <c r="B115" s="12" t="s">
        <v>94</v>
      </c>
      <c r="C115" s="12" t="s">
        <v>95</v>
      </c>
      <c r="D115" s="12" t="s">
        <v>83</v>
      </c>
      <c r="E115" s="13">
        <v>88</v>
      </c>
      <c r="F115" s="14">
        <v>5000</v>
      </c>
      <c r="G115" s="14">
        <v>3000</v>
      </c>
      <c r="H115" s="12" t="s">
        <v>106</v>
      </c>
      <c r="I115" s="12" t="s">
        <v>105</v>
      </c>
      <c r="J115" s="15">
        <f>MATCH(D115,Calculations!$A$5:$A$16,0)</f>
        <v>3</v>
      </c>
      <c r="K115" s="14">
        <f t="shared" si="4"/>
        <v>440000</v>
      </c>
      <c r="L115" s="14">
        <f t="shared" si="5"/>
        <v>264000</v>
      </c>
      <c r="M115" s="14">
        <f t="shared" si="6"/>
        <v>176000</v>
      </c>
      <c r="N115" s="16">
        <f t="shared" si="7"/>
        <v>0.4</v>
      </c>
    </row>
    <row r="116" spans="1:14" ht="14.25" customHeight="1" x14ac:dyDescent="0.3">
      <c r="A116" s="17" t="s">
        <v>103</v>
      </c>
      <c r="B116" s="17" t="s">
        <v>94</v>
      </c>
      <c r="C116" s="17" t="s">
        <v>95</v>
      </c>
      <c r="D116" s="17" t="s">
        <v>85</v>
      </c>
      <c r="E116" s="18">
        <v>86</v>
      </c>
      <c r="F116" s="19">
        <v>5000</v>
      </c>
      <c r="G116" s="19">
        <v>3000</v>
      </c>
      <c r="H116" s="17" t="s">
        <v>104</v>
      </c>
      <c r="I116" s="17" t="s">
        <v>107</v>
      </c>
      <c r="J116" s="20">
        <f>MATCH(D116,Calculations!$A$5:$A$16,0)</f>
        <v>4</v>
      </c>
      <c r="K116" s="19">
        <f t="shared" si="4"/>
        <v>430000</v>
      </c>
      <c r="L116" s="19">
        <f t="shared" si="5"/>
        <v>258000</v>
      </c>
      <c r="M116" s="19">
        <f t="shared" si="6"/>
        <v>172000</v>
      </c>
      <c r="N116" s="21">
        <f t="shared" si="7"/>
        <v>0.4</v>
      </c>
    </row>
    <row r="117" spans="1:14" ht="14.25" customHeight="1" x14ac:dyDescent="0.3">
      <c r="A117" s="12" t="s">
        <v>103</v>
      </c>
      <c r="B117" s="12" t="s">
        <v>94</v>
      </c>
      <c r="C117" s="12" t="s">
        <v>95</v>
      </c>
      <c r="D117" s="12" t="s">
        <v>86</v>
      </c>
      <c r="E117" s="13">
        <v>92</v>
      </c>
      <c r="F117" s="14">
        <v>5000</v>
      </c>
      <c r="G117" s="14">
        <v>3000</v>
      </c>
      <c r="H117" s="12" t="s">
        <v>106</v>
      </c>
      <c r="I117" s="12" t="s">
        <v>108</v>
      </c>
      <c r="J117" s="15">
        <f>MATCH(D117,Calculations!$A$5:$A$16,0)</f>
        <v>5</v>
      </c>
      <c r="K117" s="14">
        <f t="shared" si="4"/>
        <v>460000</v>
      </c>
      <c r="L117" s="14">
        <f t="shared" si="5"/>
        <v>276000</v>
      </c>
      <c r="M117" s="14">
        <f t="shared" si="6"/>
        <v>184000</v>
      </c>
      <c r="N117" s="16">
        <f t="shared" si="7"/>
        <v>0.4</v>
      </c>
    </row>
    <row r="118" spans="1:14" ht="14.25" customHeight="1" x14ac:dyDescent="0.3">
      <c r="A118" s="17" t="s">
        <v>103</v>
      </c>
      <c r="B118" s="17" t="s">
        <v>94</v>
      </c>
      <c r="C118" s="17" t="s">
        <v>95</v>
      </c>
      <c r="D118" s="17" t="s">
        <v>87</v>
      </c>
      <c r="E118" s="18">
        <v>99</v>
      </c>
      <c r="F118" s="19">
        <v>5000</v>
      </c>
      <c r="G118" s="19">
        <v>3000</v>
      </c>
      <c r="H118" s="17" t="s">
        <v>104</v>
      </c>
      <c r="I118" s="17" t="s">
        <v>105</v>
      </c>
      <c r="J118" s="20">
        <f>MATCH(D118,Calculations!$A$5:$A$16,0)</f>
        <v>6</v>
      </c>
      <c r="K118" s="19">
        <f t="shared" si="4"/>
        <v>495000</v>
      </c>
      <c r="L118" s="19">
        <f t="shared" si="5"/>
        <v>297000</v>
      </c>
      <c r="M118" s="19">
        <f t="shared" si="6"/>
        <v>198000</v>
      </c>
      <c r="N118" s="21">
        <f t="shared" si="7"/>
        <v>0.4</v>
      </c>
    </row>
    <row r="119" spans="1:14" ht="14.25" customHeight="1" x14ac:dyDescent="0.3">
      <c r="A119" s="12" t="s">
        <v>103</v>
      </c>
      <c r="B119" s="12" t="s">
        <v>94</v>
      </c>
      <c r="C119" s="12" t="s">
        <v>95</v>
      </c>
      <c r="D119" s="12" t="s">
        <v>88</v>
      </c>
      <c r="E119" s="13">
        <v>96</v>
      </c>
      <c r="F119" s="14">
        <v>5000</v>
      </c>
      <c r="G119" s="14">
        <v>3000</v>
      </c>
      <c r="H119" s="12" t="s">
        <v>106</v>
      </c>
      <c r="I119" s="12" t="s">
        <v>107</v>
      </c>
      <c r="J119" s="15">
        <f>MATCH(D119,Calculations!$A$5:$A$16,0)</f>
        <v>7</v>
      </c>
      <c r="K119" s="14">
        <f t="shared" si="4"/>
        <v>480000</v>
      </c>
      <c r="L119" s="14">
        <f t="shared" si="5"/>
        <v>288000</v>
      </c>
      <c r="M119" s="14">
        <f t="shared" si="6"/>
        <v>192000</v>
      </c>
      <c r="N119" s="16">
        <f t="shared" si="7"/>
        <v>0.4</v>
      </c>
    </row>
    <row r="120" spans="1:14" ht="14.25" customHeight="1" x14ac:dyDescent="0.3">
      <c r="A120" s="17" t="s">
        <v>103</v>
      </c>
      <c r="B120" s="17" t="s">
        <v>94</v>
      </c>
      <c r="C120" s="17" t="s">
        <v>95</v>
      </c>
      <c r="D120" s="17" t="s">
        <v>89</v>
      </c>
      <c r="E120" s="18">
        <v>103</v>
      </c>
      <c r="F120" s="19">
        <v>5000</v>
      </c>
      <c r="G120" s="19">
        <v>3000</v>
      </c>
      <c r="H120" s="17" t="s">
        <v>104</v>
      </c>
      <c r="I120" s="17" t="s">
        <v>108</v>
      </c>
      <c r="J120" s="20">
        <f>MATCH(D120,Calculations!$A$5:$A$16,0)</f>
        <v>8</v>
      </c>
      <c r="K120" s="19">
        <f t="shared" si="4"/>
        <v>515000</v>
      </c>
      <c r="L120" s="19">
        <f t="shared" si="5"/>
        <v>309000</v>
      </c>
      <c r="M120" s="19">
        <f t="shared" si="6"/>
        <v>206000</v>
      </c>
      <c r="N120" s="21">
        <f t="shared" si="7"/>
        <v>0.4</v>
      </c>
    </row>
    <row r="121" spans="1:14" ht="14.25" customHeight="1" x14ac:dyDescent="0.3">
      <c r="A121" s="12" t="s">
        <v>103</v>
      </c>
      <c r="B121" s="12" t="s">
        <v>94</v>
      </c>
      <c r="C121" s="12" t="s">
        <v>95</v>
      </c>
      <c r="D121" s="12" t="s">
        <v>90</v>
      </c>
      <c r="E121" s="13">
        <v>100</v>
      </c>
      <c r="F121" s="14">
        <v>5000</v>
      </c>
      <c r="G121" s="14">
        <v>3000</v>
      </c>
      <c r="H121" s="12" t="s">
        <v>106</v>
      </c>
      <c r="I121" s="12" t="s">
        <v>105</v>
      </c>
      <c r="J121" s="15">
        <f>MATCH(D121,Calculations!$A$5:$A$16,0)</f>
        <v>9</v>
      </c>
      <c r="K121" s="14">
        <f t="shared" si="4"/>
        <v>500000</v>
      </c>
      <c r="L121" s="14">
        <f t="shared" si="5"/>
        <v>300000</v>
      </c>
      <c r="M121" s="14">
        <f t="shared" si="6"/>
        <v>200000</v>
      </c>
      <c r="N121" s="16">
        <f t="shared" si="7"/>
        <v>0.4</v>
      </c>
    </row>
    <row r="122" spans="1:14" ht="14.25" customHeight="1" x14ac:dyDescent="0.3">
      <c r="A122" s="17" t="s">
        <v>103</v>
      </c>
      <c r="B122" s="17" t="s">
        <v>94</v>
      </c>
      <c r="C122" s="17" t="s">
        <v>95</v>
      </c>
      <c r="D122" s="17" t="s">
        <v>91</v>
      </c>
      <c r="E122" s="18">
        <v>107</v>
      </c>
      <c r="F122" s="19">
        <v>5000</v>
      </c>
      <c r="G122" s="19">
        <v>3000</v>
      </c>
      <c r="H122" s="17" t="s">
        <v>104</v>
      </c>
      <c r="I122" s="17" t="s">
        <v>107</v>
      </c>
      <c r="J122" s="20">
        <f>MATCH(D122,Calculations!$A$5:$A$16,0)</f>
        <v>10</v>
      </c>
      <c r="K122" s="19">
        <f t="shared" si="4"/>
        <v>535000</v>
      </c>
      <c r="L122" s="19">
        <f t="shared" si="5"/>
        <v>321000</v>
      </c>
      <c r="M122" s="19">
        <f t="shared" si="6"/>
        <v>214000</v>
      </c>
      <c r="N122" s="21">
        <f t="shared" si="7"/>
        <v>0.4</v>
      </c>
    </row>
    <row r="123" spans="1:14" ht="14.25" customHeight="1" x14ac:dyDescent="0.3">
      <c r="A123" s="12" t="s">
        <v>103</v>
      </c>
      <c r="B123" s="12" t="s">
        <v>94</v>
      </c>
      <c r="C123" s="12" t="s">
        <v>95</v>
      </c>
      <c r="D123" s="12" t="s">
        <v>92</v>
      </c>
      <c r="E123" s="13">
        <v>114</v>
      </c>
      <c r="F123" s="14">
        <v>5000</v>
      </c>
      <c r="G123" s="14">
        <v>3000</v>
      </c>
      <c r="H123" s="12" t="s">
        <v>106</v>
      </c>
      <c r="I123" s="12" t="s">
        <v>108</v>
      </c>
      <c r="J123" s="15">
        <f>MATCH(D123,Calculations!$A$5:$A$16,0)</f>
        <v>11</v>
      </c>
      <c r="K123" s="14">
        <f t="shared" si="4"/>
        <v>570000</v>
      </c>
      <c r="L123" s="14">
        <f t="shared" si="5"/>
        <v>342000</v>
      </c>
      <c r="M123" s="14">
        <f t="shared" si="6"/>
        <v>228000</v>
      </c>
      <c r="N123" s="16">
        <f t="shared" si="7"/>
        <v>0.4</v>
      </c>
    </row>
    <row r="124" spans="1:14" ht="14.25" customHeight="1" x14ac:dyDescent="0.3">
      <c r="A124" s="17" t="s">
        <v>103</v>
      </c>
      <c r="B124" s="17" t="s">
        <v>94</v>
      </c>
      <c r="C124" s="17" t="s">
        <v>95</v>
      </c>
      <c r="D124" s="17" t="s">
        <v>93</v>
      </c>
      <c r="E124" s="18">
        <v>110</v>
      </c>
      <c r="F124" s="19">
        <v>5000</v>
      </c>
      <c r="G124" s="19">
        <v>3000</v>
      </c>
      <c r="H124" s="17" t="s">
        <v>104</v>
      </c>
      <c r="I124" s="17" t="s">
        <v>105</v>
      </c>
      <c r="J124" s="20">
        <f>MATCH(D124,Calculations!$A$5:$A$16,0)</f>
        <v>12</v>
      </c>
      <c r="K124" s="19">
        <f t="shared" si="4"/>
        <v>550000</v>
      </c>
      <c r="L124" s="19">
        <f t="shared" si="5"/>
        <v>330000</v>
      </c>
      <c r="M124" s="19">
        <f t="shared" si="6"/>
        <v>220000</v>
      </c>
      <c r="N124" s="21">
        <f t="shared" si="7"/>
        <v>0.4</v>
      </c>
    </row>
    <row r="125" spans="1:14" ht="14.25" customHeight="1" x14ac:dyDescent="0.3">
      <c r="A125" s="12" t="s">
        <v>103</v>
      </c>
      <c r="B125" s="12" t="s">
        <v>96</v>
      </c>
      <c r="C125" s="12" t="s">
        <v>76</v>
      </c>
      <c r="D125" s="12" t="s">
        <v>77</v>
      </c>
      <c r="E125" s="13">
        <v>24</v>
      </c>
      <c r="F125" s="14">
        <v>15000</v>
      </c>
      <c r="G125" s="14">
        <v>9000</v>
      </c>
      <c r="H125" s="12" t="s">
        <v>104</v>
      </c>
      <c r="I125" s="12" t="s">
        <v>108</v>
      </c>
      <c r="J125" s="15">
        <f>MATCH(D125,Calculations!$A$5:$A$16,0)</f>
        <v>1</v>
      </c>
      <c r="K125" s="14">
        <f t="shared" si="4"/>
        <v>360000</v>
      </c>
      <c r="L125" s="14">
        <f t="shared" si="5"/>
        <v>216000</v>
      </c>
      <c r="M125" s="14">
        <f t="shared" si="6"/>
        <v>144000</v>
      </c>
      <c r="N125" s="16">
        <f t="shared" si="7"/>
        <v>0.4</v>
      </c>
    </row>
    <row r="126" spans="1:14" ht="14.25" customHeight="1" x14ac:dyDescent="0.3">
      <c r="A126" s="17" t="s">
        <v>103</v>
      </c>
      <c r="B126" s="17" t="s">
        <v>96</v>
      </c>
      <c r="C126" s="17" t="s">
        <v>76</v>
      </c>
      <c r="D126" s="17" t="s">
        <v>80</v>
      </c>
      <c r="E126" s="18">
        <v>26</v>
      </c>
      <c r="F126" s="19">
        <v>15000</v>
      </c>
      <c r="G126" s="19">
        <v>9000</v>
      </c>
      <c r="H126" s="17" t="s">
        <v>106</v>
      </c>
      <c r="I126" s="17" t="s">
        <v>105</v>
      </c>
      <c r="J126" s="20">
        <f>MATCH(D126,Calculations!$A$5:$A$16,0)</f>
        <v>2</v>
      </c>
      <c r="K126" s="19">
        <f t="shared" si="4"/>
        <v>390000</v>
      </c>
      <c r="L126" s="19">
        <f t="shared" si="5"/>
        <v>234000</v>
      </c>
      <c r="M126" s="19">
        <f t="shared" si="6"/>
        <v>156000</v>
      </c>
      <c r="N126" s="21">
        <f t="shared" si="7"/>
        <v>0.4</v>
      </c>
    </row>
    <row r="127" spans="1:14" ht="14.25" customHeight="1" x14ac:dyDescent="0.3">
      <c r="A127" s="12" t="s">
        <v>103</v>
      </c>
      <c r="B127" s="12" t="s">
        <v>96</v>
      </c>
      <c r="C127" s="12" t="s">
        <v>76</v>
      </c>
      <c r="D127" s="12" t="s">
        <v>83</v>
      </c>
      <c r="E127" s="13">
        <v>25</v>
      </c>
      <c r="F127" s="14">
        <v>15000</v>
      </c>
      <c r="G127" s="14">
        <v>9000</v>
      </c>
      <c r="H127" s="12" t="s">
        <v>104</v>
      </c>
      <c r="I127" s="12" t="s">
        <v>107</v>
      </c>
      <c r="J127" s="15">
        <f>MATCH(D127,Calculations!$A$5:$A$16,0)</f>
        <v>3</v>
      </c>
      <c r="K127" s="14">
        <f t="shared" si="4"/>
        <v>375000</v>
      </c>
      <c r="L127" s="14">
        <f t="shared" si="5"/>
        <v>225000</v>
      </c>
      <c r="M127" s="14">
        <f t="shared" si="6"/>
        <v>150000</v>
      </c>
      <c r="N127" s="16">
        <f t="shared" si="7"/>
        <v>0.4</v>
      </c>
    </row>
    <row r="128" spans="1:14" ht="14.25" customHeight="1" x14ac:dyDescent="0.3">
      <c r="A128" s="17" t="s">
        <v>103</v>
      </c>
      <c r="B128" s="17" t="s">
        <v>96</v>
      </c>
      <c r="C128" s="17" t="s">
        <v>76</v>
      </c>
      <c r="D128" s="17" t="s">
        <v>85</v>
      </c>
      <c r="E128" s="18">
        <v>27</v>
      </c>
      <c r="F128" s="19">
        <v>15000</v>
      </c>
      <c r="G128" s="19">
        <v>9000</v>
      </c>
      <c r="H128" s="17" t="s">
        <v>106</v>
      </c>
      <c r="I128" s="17" t="s">
        <v>108</v>
      </c>
      <c r="J128" s="20">
        <f>MATCH(D128,Calculations!$A$5:$A$16,0)</f>
        <v>4</v>
      </c>
      <c r="K128" s="19">
        <f t="shared" si="4"/>
        <v>405000</v>
      </c>
      <c r="L128" s="19">
        <f t="shared" si="5"/>
        <v>243000</v>
      </c>
      <c r="M128" s="19">
        <f t="shared" si="6"/>
        <v>162000</v>
      </c>
      <c r="N128" s="21">
        <f t="shared" si="7"/>
        <v>0.4</v>
      </c>
    </row>
    <row r="129" spans="1:14" ht="14.25" customHeight="1" x14ac:dyDescent="0.3">
      <c r="A129" s="12" t="s">
        <v>103</v>
      </c>
      <c r="B129" s="12" t="s">
        <v>96</v>
      </c>
      <c r="C129" s="12" t="s">
        <v>76</v>
      </c>
      <c r="D129" s="12" t="s">
        <v>86</v>
      </c>
      <c r="E129" s="13">
        <v>27</v>
      </c>
      <c r="F129" s="14">
        <v>15000</v>
      </c>
      <c r="G129" s="14">
        <v>9000</v>
      </c>
      <c r="H129" s="12" t="s">
        <v>104</v>
      </c>
      <c r="I129" s="12" t="s">
        <v>105</v>
      </c>
      <c r="J129" s="15">
        <f>MATCH(D129,Calculations!$A$5:$A$16,0)</f>
        <v>5</v>
      </c>
      <c r="K129" s="14">
        <f t="shared" si="4"/>
        <v>405000</v>
      </c>
      <c r="L129" s="14">
        <f t="shared" si="5"/>
        <v>243000</v>
      </c>
      <c r="M129" s="14">
        <f t="shared" si="6"/>
        <v>162000</v>
      </c>
      <c r="N129" s="16">
        <f t="shared" si="7"/>
        <v>0.4</v>
      </c>
    </row>
    <row r="130" spans="1:14" ht="14.25" customHeight="1" x14ac:dyDescent="0.3">
      <c r="A130" s="17" t="s">
        <v>103</v>
      </c>
      <c r="B130" s="17" t="s">
        <v>96</v>
      </c>
      <c r="C130" s="17" t="s">
        <v>76</v>
      </c>
      <c r="D130" s="17" t="s">
        <v>87</v>
      </c>
      <c r="E130" s="18">
        <v>29</v>
      </c>
      <c r="F130" s="19">
        <v>15000</v>
      </c>
      <c r="G130" s="19">
        <v>9000</v>
      </c>
      <c r="H130" s="17" t="s">
        <v>106</v>
      </c>
      <c r="I130" s="17" t="s">
        <v>107</v>
      </c>
      <c r="J130" s="20">
        <f>MATCH(D130,Calculations!$A$5:$A$16,0)</f>
        <v>6</v>
      </c>
      <c r="K130" s="19">
        <f t="shared" si="4"/>
        <v>435000</v>
      </c>
      <c r="L130" s="19">
        <f t="shared" si="5"/>
        <v>261000</v>
      </c>
      <c r="M130" s="19">
        <f t="shared" si="6"/>
        <v>174000</v>
      </c>
      <c r="N130" s="21">
        <f t="shared" si="7"/>
        <v>0.4</v>
      </c>
    </row>
    <row r="131" spans="1:14" ht="14.25" customHeight="1" x14ac:dyDescent="0.3">
      <c r="A131" s="12" t="s">
        <v>103</v>
      </c>
      <c r="B131" s="12" t="s">
        <v>96</v>
      </c>
      <c r="C131" s="12" t="s">
        <v>76</v>
      </c>
      <c r="D131" s="12" t="s">
        <v>88</v>
      </c>
      <c r="E131" s="13">
        <v>31</v>
      </c>
      <c r="F131" s="14">
        <v>15000</v>
      </c>
      <c r="G131" s="14">
        <v>9000</v>
      </c>
      <c r="H131" s="12" t="s">
        <v>104</v>
      </c>
      <c r="I131" s="12" t="s">
        <v>108</v>
      </c>
      <c r="J131" s="15">
        <f>MATCH(D131,Calculations!$A$5:$A$16,0)</f>
        <v>7</v>
      </c>
      <c r="K131" s="14">
        <f t="shared" si="4"/>
        <v>465000</v>
      </c>
      <c r="L131" s="14">
        <f t="shared" si="5"/>
        <v>279000</v>
      </c>
      <c r="M131" s="14">
        <f t="shared" si="6"/>
        <v>186000</v>
      </c>
      <c r="N131" s="16">
        <f t="shared" si="7"/>
        <v>0.4</v>
      </c>
    </row>
    <row r="132" spans="1:14" ht="14.25" customHeight="1" x14ac:dyDescent="0.3">
      <c r="A132" s="17" t="s">
        <v>103</v>
      </c>
      <c r="B132" s="17" t="s">
        <v>96</v>
      </c>
      <c r="C132" s="17" t="s">
        <v>76</v>
      </c>
      <c r="D132" s="17" t="s">
        <v>89</v>
      </c>
      <c r="E132" s="18">
        <v>30</v>
      </c>
      <c r="F132" s="19">
        <v>15000</v>
      </c>
      <c r="G132" s="19">
        <v>9000</v>
      </c>
      <c r="H132" s="17" t="s">
        <v>106</v>
      </c>
      <c r="I132" s="17" t="s">
        <v>105</v>
      </c>
      <c r="J132" s="20">
        <f>MATCH(D132,Calculations!$A$5:$A$16,0)</f>
        <v>8</v>
      </c>
      <c r="K132" s="19">
        <f t="shared" si="4"/>
        <v>450000</v>
      </c>
      <c r="L132" s="19">
        <f t="shared" si="5"/>
        <v>270000</v>
      </c>
      <c r="M132" s="19">
        <f t="shared" si="6"/>
        <v>180000</v>
      </c>
      <c r="N132" s="21">
        <f t="shared" si="7"/>
        <v>0.4</v>
      </c>
    </row>
    <row r="133" spans="1:14" ht="14.25" customHeight="1" x14ac:dyDescent="0.3">
      <c r="A133" s="12" t="s">
        <v>103</v>
      </c>
      <c r="B133" s="12" t="s">
        <v>96</v>
      </c>
      <c r="C133" s="12" t="s">
        <v>76</v>
      </c>
      <c r="D133" s="12" t="s">
        <v>90</v>
      </c>
      <c r="E133" s="13">
        <v>32</v>
      </c>
      <c r="F133" s="14">
        <v>15000</v>
      </c>
      <c r="G133" s="14">
        <v>9000</v>
      </c>
      <c r="H133" s="12" t="s">
        <v>104</v>
      </c>
      <c r="I133" s="12" t="s">
        <v>107</v>
      </c>
      <c r="J133" s="15">
        <f>MATCH(D133,Calculations!$A$5:$A$16,0)</f>
        <v>9</v>
      </c>
      <c r="K133" s="14">
        <f t="shared" ref="K133:K196" si="8">E133*F133</f>
        <v>480000</v>
      </c>
      <c r="L133" s="14">
        <f t="shared" ref="L133:L196" si="9">E133*G133</f>
        <v>288000</v>
      </c>
      <c r="M133" s="14">
        <f t="shared" ref="M133:M196" si="10">K133-L133</f>
        <v>192000</v>
      </c>
      <c r="N133" s="16">
        <f t="shared" ref="N133:N196" si="11">IFERROR(M133/K133,0)</f>
        <v>0.4</v>
      </c>
    </row>
    <row r="134" spans="1:14" ht="14.25" customHeight="1" x14ac:dyDescent="0.3">
      <c r="A134" s="17" t="s">
        <v>103</v>
      </c>
      <c r="B134" s="17" t="s">
        <v>96</v>
      </c>
      <c r="C134" s="17" t="s">
        <v>76</v>
      </c>
      <c r="D134" s="17" t="s">
        <v>91</v>
      </c>
      <c r="E134" s="18">
        <v>31</v>
      </c>
      <c r="F134" s="19">
        <v>15000</v>
      </c>
      <c r="G134" s="19">
        <v>9000</v>
      </c>
      <c r="H134" s="17" t="s">
        <v>106</v>
      </c>
      <c r="I134" s="17" t="s">
        <v>108</v>
      </c>
      <c r="J134" s="20">
        <f>MATCH(D134,Calculations!$A$5:$A$16,0)</f>
        <v>10</v>
      </c>
      <c r="K134" s="19">
        <f t="shared" si="8"/>
        <v>465000</v>
      </c>
      <c r="L134" s="19">
        <f t="shared" si="9"/>
        <v>279000</v>
      </c>
      <c r="M134" s="19">
        <f t="shared" si="10"/>
        <v>186000</v>
      </c>
      <c r="N134" s="21">
        <f t="shared" si="11"/>
        <v>0.4</v>
      </c>
    </row>
    <row r="135" spans="1:14" ht="14.25" customHeight="1" x14ac:dyDescent="0.3">
      <c r="A135" s="12" t="s">
        <v>103</v>
      </c>
      <c r="B135" s="12" t="s">
        <v>96</v>
      </c>
      <c r="C135" s="12" t="s">
        <v>76</v>
      </c>
      <c r="D135" s="12" t="s">
        <v>92</v>
      </c>
      <c r="E135" s="13">
        <v>33</v>
      </c>
      <c r="F135" s="14">
        <v>15000</v>
      </c>
      <c r="G135" s="14">
        <v>9000</v>
      </c>
      <c r="H135" s="12" t="s">
        <v>104</v>
      </c>
      <c r="I135" s="12" t="s">
        <v>105</v>
      </c>
      <c r="J135" s="15">
        <f>MATCH(D135,Calculations!$A$5:$A$16,0)</f>
        <v>11</v>
      </c>
      <c r="K135" s="14">
        <f t="shared" si="8"/>
        <v>495000</v>
      </c>
      <c r="L135" s="14">
        <f t="shared" si="9"/>
        <v>297000</v>
      </c>
      <c r="M135" s="14">
        <f t="shared" si="10"/>
        <v>198000</v>
      </c>
      <c r="N135" s="16">
        <f t="shared" si="11"/>
        <v>0.4</v>
      </c>
    </row>
    <row r="136" spans="1:14" ht="14.25" customHeight="1" x14ac:dyDescent="0.3">
      <c r="A136" s="17" t="s">
        <v>103</v>
      </c>
      <c r="B136" s="17" t="s">
        <v>96</v>
      </c>
      <c r="C136" s="17" t="s">
        <v>76</v>
      </c>
      <c r="D136" s="17" t="s">
        <v>93</v>
      </c>
      <c r="E136" s="18">
        <v>35</v>
      </c>
      <c r="F136" s="19">
        <v>15000</v>
      </c>
      <c r="G136" s="19">
        <v>9000</v>
      </c>
      <c r="H136" s="17" t="s">
        <v>106</v>
      </c>
      <c r="I136" s="17" t="s">
        <v>107</v>
      </c>
      <c r="J136" s="20">
        <f>MATCH(D136,Calculations!$A$5:$A$16,0)</f>
        <v>12</v>
      </c>
      <c r="K136" s="19">
        <f t="shared" si="8"/>
        <v>525000</v>
      </c>
      <c r="L136" s="19">
        <f t="shared" si="9"/>
        <v>315000</v>
      </c>
      <c r="M136" s="19">
        <f t="shared" si="10"/>
        <v>210000</v>
      </c>
      <c r="N136" s="21">
        <f t="shared" si="11"/>
        <v>0.4</v>
      </c>
    </row>
    <row r="137" spans="1:14" ht="14.25" customHeight="1" x14ac:dyDescent="0.3">
      <c r="A137" s="12" t="s">
        <v>103</v>
      </c>
      <c r="B137" s="12" t="s">
        <v>97</v>
      </c>
      <c r="C137" s="12" t="s">
        <v>95</v>
      </c>
      <c r="D137" s="12" t="s">
        <v>77</v>
      </c>
      <c r="E137" s="13">
        <v>26</v>
      </c>
      <c r="F137" s="14">
        <v>12000</v>
      </c>
      <c r="G137" s="14">
        <v>7000</v>
      </c>
      <c r="H137" s="12" t="s">
        <v>106</v>
      </c>
      <c r="I137" s="12" t="s">
        <v>105</v>
      </c>
      <c r="J137" s="15">
        <f>MATCH(D137,Calculations!$A$5:$A$16,0)</f>
        <v>1</v>
      </c>
      <c r="K137" s="14">
        <f t="shared" si="8"/>
        <v>312000</v>
      </c>
      <c r="L137" s="14">
        <f t="shared" si="9"/>
        <v>182000</v>
      </c>
      <c r="M137" s="14">
        <f t="shared" si="10"/>
        <v>130000</v>
      </c>
      <c r="N137" s="16">
        <f t="shared" si="11"/>
        <v>0.41666666666666669</v>
      </c>
    </row>
    <row r="138" spans="1:14" ht="14.25" customHeight="1" x14ac:dyDescent="0.3">
      <c r="A138" s="17" t="s">
        <v>103</v>
      </c>
      <c r="B138" s="17" t="s">
        <v>97</v>
      </c>
      <c r="C138" s="17" t="s">
        <v>95</v>
      </c>
      <c r="D138" s="17" t="s">
        <v>80</v>
      </c>
      <c r="E138" s="18">
        <v>28</v>
      </c>
      <c r="F138" s="19">
        <v>12000</v>
      </c>
      <c r="G138" s="19">
        <v>7000</v>
      </c>
      <c r="H138" s="17" t="s">
        <v>104</v>
      </c>
      <c r="I138" s="17" t="s">
        <v>107</v>
      </c>
      <c r="J138" s="20">
        <f>MATCH(D138,Calculations!$A$5:$A$16,0)</f>
        <v>2</v>
      </c>
      <c r="K138" s="19">
        <f t="shared" si="8"/>
        <v>336000</v>
      </c>
      <c r="L138" s="19">
        <f t="shared" si="9"/>
        <v>196000</v>
      </c>
      <c r="M138" s="19">
        <f t="shared" si="10"/>
        <v>140000</v>
      </c>
      <c r="N138" s="21">
        <f t="shared" si="11"/>
        <v>0.41666666666666669</v>
      </c>
    </row>
    <row r="139" spans="1:14" ht="14.25" customHeight="1" x14ac:dyDescent="0.3">
      <c r="A139" s="12" t="s">
        <v>103</v>
      </c>
      <c r="B139" s="12" t="s">
        <v>97</v>
      </c>
      <c r="C139" s="12" t="s">
        <v>95</v>
      </c>
      <c r="D139" s="12" t="s">
        <v>83</v>
      </c>
      <c r="E139" s="13">
        <v>30</v>
      </c>
      <c r="F139" s="14">
        <v>12000</v>
      </c>
      <c r="G139" s="14">
        <v>7000</v>
      </c>
      <c r="H139" s="12" t="s">
        <v>106</v>
      </c>
      <c r="I139" s="12" t="s">
        <v>108</v>
      </c>
      <c r="J139" s="15">
        <f>MATCH(D139,Calculations!$A$5:$A$16,0)</f>
        <v>3</v>
      </c>
      <c r="K139" s="14">
        <f t="shared" si="8"/>
        <v>360000</v>
      </c>
      <c r="L139" s="14">
        <f t="shared" si="9"/>
        <v>210000</v>
      </c>
      <c r="M139" s="14">
        <f t="shared" si="10"/>
        <v>150000</v>
      </c>
      <c r="N139" s="16">
        <f t="shared" si="11"/>
        <v>0.41666666666666669</v>
      </c>
    </row>
    <row r="140" spans="1:14" ht="14.25" customHeight="1" x14ac:dyDescent="0.3">
      <c r="A140" s="17" t="s">
        <v>103</v>
      </c>
      <c r="B140" s="17" t="s">
        <v>97</v>
      </c>
      <c r="C140" s="17" t="s">
        <v>95</v>
      </c>
      <c r="D140" s="17" t="s">
        <v>85</v>
      </c>
      <c r="E140" s="18">
        <v>29</v>
      </c>
      <c r="F140" s="19">
        <v>12000</v>
      </c>
      <c r="G140" s="19">
        <v>7000</v>
      </c>
      <c r="H140" s="17" t="s">
        <v>104</v>
      </c>
      <c r="I140" s="17" t="s">
        <v>105</v>
      </c>
      <c r="J140" s="20">
        <f>MATCH(D140,Calculations!$A$5:$A$16,0)</f>
        <v>4</v>
      </c>
      <c r="K140" s="19">
        <f t="shared" si="8"/>
        <v>348000</v>
      </c>
      <c r="L140" s="19">
        <f t="shared" si="9"/>
        <v>203000</v>
      </c>
      <c r="M140" s="19">
        <f t="shared" si="10"/>
        <v>145000</v>
      </c>
      <c r="N140" s="21">
        <f t="shared" si="11"/>
        <v>0.41666666666666669</v>
      </c>
    </row>
    <row r="141" spans="1:14" ht="14.25" customHeight="1" x14ac:dyDescent="0.3">
      <c r="A141" s="12" t="s">
        <v>103</v>
      </c>
      <c r="B141" s="12" t="s">
        <v>97</v>
      </c>
      <c r="C141" s="12" t="s">
        <v>95</v>
      </c>
      <c r="D141" s="12" t="s">
        <v>86</v>
      </c>
      <c r="E141" s="13">
        <v>31</v>
      </c>
      <c r="F141" s="14">
        <v>12000</v>
      </c>
      <c r="G141" s="14">
        <v>7000</v>
      </c>
      <c r="H141" s="12" t="s">
        <v>106</v>
      </c>
      <c r="I141" s="12" t="s">
        <v>107</v>
      </c>
      <c r="J141" s="15">
        <f>MATCH(D141,Calculations!$A$5:$A$16,0)</f>
        <v>5</v>
      </c>
      <c r="K141" s="14">
        <f t="shared" si="8"/>
        <v>372000</v>
      </c>
      <c r="L141" s="14">
        <f t="shared" si="9"/>
        <v>217000</v>
      </c>
      <c r="M141" s="14">
        <f t="shared" si="10"/>
        <v>155000</v>
      </c>
      <c r="N141" s="16">
        <f t="shared" si="11"/>
        <v>0.41666666666666669</v>
      </c>
    </row>
    <row r="142" spans="1:14" ht="14.25" customHeight="1" x14ac:dyDescent="0.3">
      <c r="A142" s="17" t="s">
        <v>103</v>
      </c>
      <c r="B142" s="17" t="s">
        <v>97</v>
      </c>
      <c r="C142" s="17" t="s">
        <v>95</v>
      </c>
      <c r="D142" s="17" t="s">
        <v>87</v>
      </c>
      <c r="E142" s="18">
        <v>30</v>
      </c>
      <c r="F142" s="19">
        <v>12000</v>
      </c>
      <c r="G142" s="19">
        <v>7000</v>
      </c>
      <c r="H142" s="17" t="s">
        <v>104</v>
      </c>
      <c r="I142" s="17" t="s">
        <v>108</v>
      </c>
      <c r="J142" s="20">
        <f>MATCH(D142,Calculations!$A$5:$A$16,0)</f>
        <v>6</v>
      </c>
      <c r="K142" s="19">
        <f t="shared" si="8"/>
        <v>360000</v>
      </c>
      <c r="L142" s="19">
        <f t="shared" si="9"/>
        <v>210000</v>
      </c>
      <c r="M142" s="19">
        <f t="shared" si="10"/>
        <v>150000</v>
      </c>
      <c r="N142" s="21">
        <f t="shared" si="11"/>
        <v>0.41666666666666669</v>
      </c>
    </row>
    <row r="143" spans="1:14" ht="14.25" customHeight="1" x14ac:dyDescent="0.3">
      <c r="A143" s="12" t="s">
        <v>103</v>
      </c>
      <c r="B143" s="12" t="s">
        <v>97</v>
      </c>
      <c r="C143" s="12" t="s">
        <v>95</v>
      </c>
      <c r="D143" s="12" t="s">
        <v>88</v>
      </c>
      <c r="E143" s="13">
        <v>33</v>
      </c>
      <c r="F143" s="14">
        <v>12000</v>
      </c>
      <c r="G143" s="14">
        <v>7000</v>
      </c>
      <c r="H143" s="12" t="s">
        <v>106</v>
      </c>
      <c r="I143" s="12" t="s">
        <v>105</v>
      </c>
      <c r="J143" s="15">
        <f>MATCH(D143,Calculations!$A$5:$A$16,0)</f>
        <v>7</v>
      </c>
      <c r="K143" s="14">
        <f t="shared" si="8"/>
        <v>396000</v>
      </c>
      <c r="L143" s="14">
        <f t="shared" si="9"/>
        <v>231000</v>
      </c>
      <c r="M143" s="14">
        <f t="shared" si="10"/>
        <v>165000</v>
      </c>
      <c r="N143" s="16">
        <f t="shared" si="11"/>
        <v>0.41666666666666669</v>
      </c>
    </row>
    <row r="144" spans="1:14" ht="14.25" customHeight="1" x14ac:dyDescent="0.3">
      <c r="A144" s="17" t="s">
        <v>103</v>
      </c>
      <c r="B144" s="17" t="s">
        <v>97</v>
      </c>
      <c r="C144" s="17" t="s">
        <v>95</v>
      </c>
      <c r="D144" s="17" t="s">
        <v>89</v>
      </c>
      <c r="E144" s="18">
        <v>35</v>
      </c>
      <c r="F144" s="19">
        <v>12000</v>
      </c>
      <c r="G144" s="19">
        <v>7000</v>
      </c>
      <c r="H144" s="17" t="s">
        <v>104</v>
      </c>
      <c r="I144" s="17" t="s">
        <v>107</v>
      </c>
      <c r="J144" s="20">
        <f>MATCH(D144,Calculations!$A$5:$A$16,0)</f>
        <v>8</v>
      </c>
      <c r="K144" s="19">
        <f t="shared" si="8"/>
        <v>420000</v>
      </c>
      <c r="L144" s="19">
        <f t="shared" si="9"/>
        <v>245000</v>
      </c>
      <c r="M144" s="19">
        <f t="shared" si="10"/>
        <v>175000</v>
      </c>
      <c r="N144" s="21">
        <f t="shared" si="11"/>
        <v>0.41666666666666669</v>
      </c>
    </row>
    <row r="145" spans="1:14" ht="14.25" customHeight="1" x14ac:dyDescent="0.3">
      <c r="A145" s="12" t="s">
        <v>103</v>
      </c>
      <c r="B145" s="12" t="s">
        <v>97</v>
      </c>
      <c r="C145" s="12" t="s">
        <v>95</v>
      </c>
      <c r="D145" s="12" t="s">
        <v>90</v>
      </c>
      <c r="E145" s="13">
        <v>34</v>
      </c>
      <c r="F145" s="14">
        <v>12000</v>
      </c>
      <c r="G145" s="14">
        <v>7000</v>
      </c>
      <c r="H145" s="12" t="s">
        <v>106</v>
      </c>
      <c r="I145" s="12" t="s">
        <v>108</v>
      </c>
      <c r="J145" s="15">
        <f>MATCH(D145,Calculations!$A$5:$A$16,0)</f>
        <v>9</v>
      </c>
      <c r="K145" s="14">
        <f t="shared" si="8"/>
        <v>408000</v>
      </c>
      <c r="L145" s="14">
        <f t="shared" si="9"/>
        <v>238000</v>
      </c>
      <c r="M145" s="14">
        <f t="shared" si="10"/>
        <v>170000</v>
      </c>
      <c r="N145" s="16">
        <f t="shared" si="11"/>
        <v>0.41666666666666669</v>
      </c>
    </row>
    <row r="146" spans="1:14" ht="14.25" customHeight="1" x14ac:dyDescent="0.3">
      <c r="A146" s="17" t="s">
        <v>103</v>
      </c>
      <c r="B146" s="17" t="s">
        <v>97</v>
      </c>
      <c r="C146" s="17" t="s">
        <v>95</v>
      </c>
      <c r="D146" s="17" t="s">
        <v>91</v>
      </c>
      <c r="E146" s="18">
        <v>36</v>
      </c>
      <c r="F146" s="19">
        <v>12000</v>
      </c>
      <c r="G146" s="19">
        <v>7000</v>
      </c>
      <c r="H146" s="17" t="s">
        <v>104</v>
      </c>
      <c r="I146" s="17" t="s">
        <v>105</v>
      </c>
      <c r="J146" s="20">
        <f>MATCH(D146,Calculations!$A$5:$A$16,0)</f>
        <v>10</v>
      </c>
      <c r="K146" s="19">
        <f t="shared" si="8"/>
        <v>432000</v>
      </c>
      <c r="L146" s="19">
        <f t="shared" si="9"/>
        <v>252000</v>
      </c>
      <c r="M146" s="19">
        <f t="shared" si="10"/>
        <v>180000</v>
      </c>
      <c r="N146" s="21">
        <f t="shared" si="11"/>
        <v>0.41666666666666669</v>
      </c>
    </row>
    <row r="147" spans="1:14" ht="14.25" customHeight="1" x14ac:dyDescent="0.3">
      <c r="A147" s="12" t="s">
        <v>103</v>
      </c>
      <c r="B147" s="12" t="s">
        <v>97</v>
      </c>
      <c r="C147" s="12" t="s">
        <v>95</v>
      </c>
      <c r="D147" s="12" t="s">
        <v>92</v>
      </c>
      <c r="E147" s="13">
        <v>35</v>
      </c>
      <c r="F147" s="14">
        <v>12000</v>
      </c>
      <c r="G147" s="14">
        <v>7000</v>
      </c>
      <c r="H147" s="12" t="s">
        <v>106</v>
      </c>
      <c r="I147" s="12" t="s">
        <v>107</v>
      </c>
      <c r="J147" s="15">
        <f>MATCH(D147,Calculations!$A$5:$A$16,0)</f>
        <v>11</v>
      </c>
      <c r="K147" s="14">
        <f t="shared" si="8"/>
        <v>420000</v>
      </c>
      <c r="L147" s="14">
        <f t="shared" si="9"/>
        <v>245000</v>
      </c>
      <c r="M147" s="14">
        <f t="shared" si="10"/>
        <v>175000</v>
      </c>
      <c r="N147" s="16">
        <f t="shared" si="11"/>
        <v>0.41666666666666669</v>
      </c>
    </row>
    <row r="148" spans="1:14" ht="14.25" customHeight="1" x14ac:dyDescent="0.3">
      <c r="A148" s="17" t="s">
        <v>103</v>
      </c>
      <c r="B148" s="17" t="s">
        <v>97</v>
      </c>
      <c r="C148" s="17" t="s">
        <v>95</v>
      </c>
      <c r="D148" s="17" t="s">
        <v>93</v>
      </c>
      <c r="E148" s="18">
        <v>37</v>
      </c>
      <c r="F148" s="19">
        <v>12000</v>
      </c>
      <c r="G148" s="19">
        <v>7000</v>
      </c>
      <c r="H148" s="17" t="s">
        <v>104</v>
      </c>
      <c r="I148" s="17" t="s">
        <v>108</v>
      </c>
      <c r="J148" s="20">
        <f>MATCH(D148,Calculations!$A$5:$A$16,0)</f>
        <v>12</v>
      </c>
      <c r="K148" s="19">
        <f t="shared" si="8"/>
        <v>444000</v>
      </c>
      <c r="L148" s="19">
        <f t="shared" si="9"/>
        <v>259000</v>
      </c>
      <c r="M148" s="19">
        <f t="shared" si="10"/>
        <v>185000</v>
      </c>
      <c r="N148" s="21">
        <f t="shared" si="11"/>
        <v>0.41666666666666669</v>
      </c>
    </row>
    <row r="149" spans="1:14" ht="14.25" customHeight="1" x14ac:dyDescent="0.3">
      <c r="A149" s="12" t="s">
        <v>103</v>
      </c>
      <c r="B149" s="12" t="s">
        <v>98</v>
      </c>
      <c r="C149" s="12" t="s">
        <v>99</v>
      </c>
      <c r="D149" s="12" t="s">
        <v>77</v>
      </c>
      <c r="E149" s="13">
        <v>33</v>
      </c>
      <c r="F149" s="14">
        <v>9000</v>
      </c>
      <c r="G149" s="14">
        <v>5000</v>
      </c>
      <c r="H149" s="12" t="s">
        <v>104</v>
      </c>
      <c r="I149" s="12" t="s">
        <v>107</v>
      </c>
      <c r="J149" s="15">
        <f>MATCH(D149,Calculations!$A$5:$A$16,0)</f>
        <v>1</v>
      </c>
      <c r="K149" s="14">
        <f t="shared" si="8"/>
        <v>297000</v>
      </c>
      <c r="L149" s="14">
        <f t="shared" si="9"/>
        <v>165000</v>
      </c>
      <c r="M149" s="14">
        <f t="shared" si="10"/>
        <v>132000</v>
      </c>
      <c r="N149" s="16">
        <f t="shared" si="11"/>
        <v>0.44444444444444442</v>
      </c>
    </row>
    <row r="150" spans="1:14" ht="14.25" customHeight="1" x14ac:dyDescent="0.3">
      <c r="A150" s="17" t="s">
        <v>103</v>
      </c>
      <c r="B150" s="17" t="s">
        <v>98</v>
      </c>
      <c r="C150" s="17" t="s">
        <v>99</v>
      </c>
      <c r="D150" s="17" t="s">
        <v>80</v>
      </c>
      <c r="E150" s="18">
        <v>32</v>
      </c>
      <c r="F150" s="19">
        <v>9000</v>
      </c>
      <c r="G150" s="19">
        <v>5000</v>
      </c>
      <c r="H150" s="17" t="s">
        <v>106</v>
      </c>
      <c r="I150" s="17" t="s">
        <v>108</v>
      </c>
      <c r="J150" s="20">
        <f>MATCH(D150,Calculations!$A$5:$A$16,0)</f>
        <v>2</v>
      </c>
      <c r="K150" s="19">
        <f t="shared" si="8"/>
        <v>288000</v>
      </c>
      <c r="L150" s="19">
        <f t="shared" si="9"/>
        <v>160000</v>
      </c>
      <c r="M150" s="19">
        <f t="shared" si="10"/>
        <v>128000</v>
      </c>
      <c r="N150" s="21">
        <f t="shared" si="11"/>
        <v>0.44444444444444442</v>
      </c>
    </row>
    <row r="151" spans="1:14" ht="14.25" customHeight="1" x14ac:dyDescent="0.3">
      <c r="A151" s="12" t="s">
        <v>103</v>
      </c>
      <c r="B151" s="12" t="s">
        <v>98</v>
      </c>
      <c r="C151" s="12" t="s">
        <v>99</v>
      </c>
      <c r="D151" s="12" t="s">
        <v>83</v>
      </c>
      <c r="E151" s="13">
        <v>35</v>
      </c>
      <c r="F151" s="14">
        <v>9000</v>
      </c>
      <c r="G151" s="14">
        <v>5000</v>
      </c>
      <c r="H151" s="12" t="s">
        <v>104</v>
      </c>
      <c r="I151" s="12" t="s">
        <v>105</v>
      </c>
      <c r="J151" s="15">
        <f>MATCH(D151,Calculations!$A$5:$A$16,0)</f>
        <v>3</v>
      </c>
      <c r="K151" s="14">
        <f t="shared" si="8"/>
        <v>315000</v>
      </c>
      <c r="L151" s="14">
        <f t="shared" si="9"/>
        <v>175000</v>
      </c>
      <c r="M151" s="14">
        <f t="shared" si="10"/>
        <v>140000</v>
      </c>
      <c r="N151" s="16">
        <f t="shared" si="11"/>
        <v>0.44444444444444442</v>
      </c>
    </row>
    <row r="152" spans="1:14" ht="14.25" customHeight="1" x14ac:dyDescent="0.3">
      <c r="A152" s="17" t="s">
        <v>103</v>
      </c>
      <c r="B152" s="17" t="s">
        <v>98</v>
      </c>
      <c r="C152" s="17" t="s">
        <v>99</v>
      </c>
      <c r="D152" s="17" t="s">
        <v>85</v>
      </c>
      <c r="E152" s="18">
        <v>37</v>
      </c>
      <c r="F152" s="19">
        <v>9000</v>
      </c>
      <c r="G152" s="19">
        <v>5000</v>
      </c>
      <c r="H152" s="17" t="s">
        <v>106</v>
      </c>
      <c r="I152" s="17" t="s">
        <v>107</v>
      </c>
      <c r="J152" s="20">
        <f>MATCH(D152,Calculations!$A$5:$A$16,0)</f>
        <v>4</v>
      </c>
      <c r="K152" s="19">
        <f t="shared" si="8"/>
        <v>333000</v>
      </c>
      <c r="L152" s="19">
        <f t="shared" si="9"/>
        <v>185000</v>
      </c>
      <c r="M152" s="19">
        <f t="shared" si="10"/>
        <v>148000</v>
      </c>
      <c r="N152" s="21">
        <f t="shared" si="11"/>
        <v>0.44444444444444442</v>
      </c>
    </row>
    <row r="153" spans="1:14" ht="14.25" customHeight="1" x14ac:dyDescent="0.3">
      <c r="A153" s="12" t="s">
        <v>103</v>
      </c>
      <c r="B153" s="12" t="s">
        <v>98</v>
      </c>
      <c r="C153" s="12" t="s">
        <v>99</v>
      </c>
      <c r="D153" s="12" t="s">
        <v>86</v>
      </c>
      <c r="E153" s="13">
        <v>36</v>
      </c>
      <c r="F153" s="14">
        <v>9000</v>
      </c>
      <c r="G153" s="14">
        <v>5000</v>
      </c>
      <c r="H153" s="12" t="s">
        <v>104</v>
      </c>
      <c r="I153" s="12" t="s">
        <v>108</v>
      </c>
      <c r="J153" s="15">
        <f>MATCH(D153,Calculations!$A$5:$A$16,0)</f>
        <v>5</v>
      </c>
      <c r="K153" s="14">
        <f t="shared" si="8"/>
        <v>324000</v>
      </c>
      <c r="L153" s="14">
        <f t="shared" si="9"/>
        <v>180000</v>
      </c>
      <c r="M153" s="14">
        <f t="shared" si="10"/>
        <v>144000</v>
      </c>
      <c r="N153" s="16">
        <f t="shared" si="11"/>
        <v>0.44444444444444442</v>
      </c>
    </row>
    <row r="154" spans="1:14" ht="14.25" customHeight="1" x14ac:dyDescent="0.3">
      <c r="A154" s="17" t="s">
        <v>103</v>
      </c>
      <c r="B154" s="17" t="s">
        <v>98</v>
      </c>
      <c r="C154" s="17" t="s">
        <v>99</v>
      </c>
      <c r="D154" s="17" t="s">
        <v>87</v>
      </c>
      <c r="E154" s="18">
        <v>39</v>
      </c>
      <c r="F154" s="19">
        <v>9000</v>
      </c>
      <c r="G154" s="19">
        <v>5000</v>
      </c>
      <c r="H154" s="17" t="s">
        <v>106</v>
      </c>
      <c r="I154" s="17" t="s">
        <v>105</v>
      </c>
      <c r="J154" s="20">
        <f>MATCH(D154,Calculations!$A$5:$A$16,0)</f>
        <v>6</v>
      </c>
      <c r="K154" s="19">
        <f t="shared" si="8"/>
        <v>351000</v>
      </c>
      <c r="L154" s="19">
        <f t="shared" si="9"/>
        <v>195000</v>
      </c>
      <c r="M154" s="19">
        <f t="shared" si="10"/>
        <v>156000</v>
      </c>
      <c r="N154" s="21">
        <f t="shared" si="11"/>
        <v>0.44444444444444442</v>
      </c>
    </row>
    <row r="155" spans="1:14" ht="14.25" customHeight="1" x14ac:dyDescent="0.3">
      <c r="A155" s="12" t="s">
        <v>103</v>
      </c>
      <c r="B155" s="12" t="s">
        <v>98</v>
      </c>
      <c r="C155" s="12" t="s">
        <v>99</v>
      </c>
      <c r="D155" s="12" t="s">
        <v>88</v>
      </c>
      <c r="E155" s="13">
        <v>38</v>
      </c>
      <c r="F155" s="14">
        <v>9000</v>
      </c>
      <c r="G155" s="14">
        <v>5000</v>
      </c>
      <c r="H155" s="12" t="s">
        <v>104</v>
      </c>
      <c r="I155" s="12" t="s">
        <v>107</v>
      </c>
      <c r="J155" s="15">
        <f>MATCH(D155,Calculations!$A$5:$A$16,0)</f>
        <v>7</v>
      </c>
      <c r="K155" s="14">
        <f t="shared" si="8"/>
        <v>342000</v>
      </c>
      <c r="L155" s="14">
        <f t="shared" si="9"/>
        <v>190000</v>
      </c>
      <c r="M155" s="14">
        <f t="shared" si="10"/>
        <v>152000</v>
      </c>
      <c r="N155" s="16">
        <f t="shared" si="11"/>
        <v>0.44444444444444442</v>
      </c>
    </row>
    <row r="156" spans="1:14" ht="14.25" customHeight="1" x14ac:dyDescent="0.3">
      <c r="A156" s="17" t="s">
        <v>103</v>
      </c>
      <c r="B156" s="17" t="s">
        <v>98</v>
      </c>
      <c r="C156" s="17" t="s">
        <v>99</v>
      </c>
      <c r="D156" s="17" t="s">
        <v>89</v>
      </c>
      <c r="E156" s="18">
        <v>40</v>
      </c>
      <c r="F156" s="19">
        <v>9000</v>
      </c>
      <c r="G156" s="19">
        <v>5000</v>
      </c>
      <c r="H156" s="17" t="s">
        <v>106</v>
      </c>
      <c r="I156" s="17" t="s">
        <v>108</v>
      </c>
      <c r="J156" s="20">
        <f>MATCH(D156,Calculations!$A$5:$A$16,0)</f>
        <v>8</v>
      </c>
      <c r="K156" s="19">
        <f t="shared" si="8"/>
        <v>360000</v>
      </c>
      <c r="L156" s="19">
        <f t="shared" si="9"/>
        <v>200000</v>
      </c>
      <c r="M156" s="19">
        <f t="shared" si="10"/>
        <v>160000</v>
      </c>
      <c r="N156" s="21">
        <f t="shared" si="11"/>
        <v>0.44444444444444442</v>
      </c>
    </row>
    <row r="157" spans="1:14" ht="14.25" customHeight="1" x14ac:dyDescent="0.3">
      <c r="A157" s="12" t="s">
        <v>103</v>
      </c>
      <c r="B157" s="12" t="s">
        <v>98</v>
      </c>
      <c r="C157" s="12" t="s">
        <v>99</v>
      </c>
      <c r="D157" s="12" t="s">
        <v>90</v>
      </c>
      <c r="E157" s="13">
        <v>43</v>
      </c>
      <c r="F157" s="14">
        <v>9000</v>
      </c>
      <c r="G157" s="14">
        <v>5000</v>
      </c>
      <c r="H157" s="12" t="s">
        <v>104</v>
      </c>
      <c r="I157" s="12" t="s">
        <v>105</v>
      </c>
      <c r="J157" s="15">
        <f>MATCH(D157,Calculations!$A$5:$A$16,0)</f>
        <v>9</v>
      </c>
      <c r="K157" s="14">
        <f t="shared" si="8"/>
        <v>387000</v>
      </c>
      <c r="L157" s="14">
        <f t="shared" si="9"/>
        <v>215000</v>
      </c>
      <c r="M157" s="14">
        <f t="shared" si="10"/>
        <v>172000</v>
      </c>
      <c r="N157" s="16">
        <f t="shared" si="11"/>
        <v>0.44444444444444442</v>
      </c>
    </row>
    <row r="158" spans="1:14" ht="14.25" customHeight="1" x14ac:dyDescent="0.3">
      <c r="A158" s="17" t="s">
        <v>103</v>
      </c>
      <c r="B158" s="17" t="s">
        <v>98</v>
      </c>
      <c r="C158" s="17" t="s">
        <v>99</v>
      </c>
      <c r="D158" s="17" t="s">
        <v>91</v>
      </c>
      <c r="E158" s="18">
        <v>42</v>
      </c>
      <c r="F158" s="19">
        <v>9000</v>
      </c>
      <c r="G158" s="19">
        <v>5000</v>
      </c>
      <c r="H158" s="17" t="s">
        <v>106</v>
      </c>
      <c r="I158" s="17" t="s">
        <v>107</v>
      </c>
      <c r="J158" s="20">
        <f>MATCH(D158,Calculations!$A$5:$A$16,0)</f>
        <v>10</v>
      </c>
      <c r="K158" s="19">
        <f t="shared" si="8"/>
        <v>378000</v>
      </c>
      <c r="L158" s="19">
        <f t="shared" si="9"/>
        <v>210000</v>
      </c>
      <c r="M158" s="19">
        <f t="shared" si="10"/>
        <v>168000</v>
      </c>
      <c r="N158" s="21">
        <f t="shared" si="11"/>
        <v>0.44444444444444442</v>
      </c>
    </row>
    <row r="159" spans="1:14" ht="14.25" customHeight="1" x14ac:dyDescent="0.3">
      <c r="A159" s="12" t="s">
        <v>103</v>
      </c>
      <c r="B159" s="12" t="s">
        <v>98</v>
      </c>
      <c r="C159" s="12" t="s">
        <v>99</v>
      </c>
      <c r="D159" s="12" t="s">
        <v>92</v>
      </c>
      <c r="E159" s="13">
        <v>45</v>
      </c>
      <c r="F159" s="14">
        <v>9000</v>
      </c>
      <c r="G159" s="14">
        <v>5000</v>
      </c>
      <c r="H159" s="12" t="s">
        <v>104</v>
      </c>
      <c r="I159" s="12" t="s">
        <v>108</v>
      </c>
      <c r="J159" s="15">
        <f>MATCH(D159,Calculations!$A$5:$A$16,0)</f>
        <v>11</v>
      </c>
      <c r="K159" s="14">
        <f t="shared" si="8"/>
        <v>405000</v>
      </c>
      <c r="L159" s="14">
        <f t="shared" si="9"/>
        <v>225000</v>
      </c>
      <c r="M159" s="14">
        <f t="shared" si="10"/>
        <v>180000</v>
      </c>
      <c r="N159" s="16">
        <f t="shared" si="11"/>
        <v>0.44444444444444442</v>
      </c>
    </row>
    <row r="160" spans="1:14" ht="14.25" customHeight="1" x14ac:dyDescent="0.3">
      <c r="A160" s="17" t="s">
        <v>103</v>
      </c>
      <c r="B160" s="17" t="s">
        <v>98</v>
      </c>
      <c r="C160" s="17" t="s">
        <v>99</v>
      </c>
      <c r="D160" s="17" t="s">
        <v>93</v>
      </c>
      <c r="E160" s="18">
        <v>43</v>
      </c>
      <c r="F160" s="19">
        <v>9000</v>
      </c>
      <c r="G160" s="19">
        <v>5000</v>
      </c>
      <c r="H160" s="17" t="s">
        <v>106</v>
      </c>
      <c r="I160" s="17" t="s">
        <v>105</v>
      </c>
      <c r="J160" s="20">
        <f>MATCH(D160,Calculations!$A$5:$A$16,0)</f>
        <v>12</v>
      </c>
      <c r="K160" s="19">
        <f t="shared" si="8"/>
        <v>387000</v>
      </c>
      <c r="L160" s="19">
        <f t="shared" si="9"/>
        <v>215000</v>
      </c>
      <c r="M160" s="19">
        <f t="shared" si="10"/>
        <v>172000</v>
      </c>
      <c r="N160" s="21">
        <f t="shared" si="11"/>
        <v>0.44444444444444442</v>
      </c>
    </row>
    <row r="161" spans="1:14" ht="14.25" customHeight="1" x14ac:dyDescent="0.3">
      <c r="A161" s="12" t="s">
        <v>103</v>
      </c>
      <c r="B161" s="12" t="s">
        <v>100</v>
      </c>
      <c r="C161" s="12" t="s">
        <v>99</v>
      </c>
      <c r="D161" s="12" t="s">
        <v>77</v>
      </c>
      <c r="E161" s="13">
        <v>29</v>
      </c>
      <c r="F161" s="14">
        <v>7000</v>
      </c>
      <c r="G161" s="14">
        <v>4000</v>
      </c>
      <c r="H161" s="12" t="s">
        <v>106</v>
      </c>
      <c r="I161" s="12" t="s">
        <v>108</v>
      </c>
      <c r="J161" s="15">
        <f>MATCH(D161,Calculations!$A$5:$A$16,0)</f>
        <v>1</v>
      </c>
      <c r="K161" s="14">
        <f t="shared" si="8"/>
        <v>203000</v>
      </c>
      <c r="L161" s="14">
        <f t="shared" si="9"/>
        <v>116000</v>
      </c>
      <c r="M161" s="14">
        <f t="shared" si="10"/>
        <v>87000</v>
      </c>
      <c r="N161" s="16">
        <f t="shared" si="11"/>
        <v>0.42857142857142855</v>
      </c>
    </row>
    <row r="162" spans="1:14" ht="14.25" customHeight="1" x14ac:dyDescent="0.3">
      <c r="A162" s="17" t="s">
        <v>103</v>
      </c>
      <c r="B162" s="17" t="s">
        <v>100</v>
      </c>
      <c r="C162" s="17" t="s">
        <v>99</v>
      </c>
      <c r="D162" s="17" t="s">
        <v>80</v>
      </c>
      <c r="E162" s="18">
        <v>31</v>
      </c>
      <c r="F162" s="19">
        <v>7000</v>
      </c>
      <c r="G162" s="19">
        <v>4000</v>
      </c>
      <c r="H162" s="17" t="s">
        <v>104</v>
      </c>
      <c r="I162" s="17" t="s">
        <v>105</v>
      </c>
      <c r="J162" s="20">
        <f>MATCH(D162,Calculations!$A$5:$A$16,0)</f>
        <v>2</v>
      </c>
      <c r="K162" s="19">
        <f t="shared" si="8"/>
        <v>217000</v>
      </c>
      <c r="L162" s="19">
        <f t="shared" si="9"/>
        <v>124000</v>
      </c>
      <c r="M162" s="19">
        <f t="shared" si="10"/>
        <v>93000</v>
      </c>
      <c r="N162" s="21">
        <f t="shared" si="11"/>
        <v>0.42857142857142855</v>
      </c>
    </row>
    <row r="163" spans="1:14" ht="14.25" customHeight="1" x14ac:dyDescent="0.3">
      <c r="A163" s="12" t="s">
        <v>103</v>
      </c>
      <c r="B163" s="12" t="s">
        <v>100</v>
      </c>
      <c r="C163" s="12" t="s">
        <v>99</v>
      </c>
      <c r="D163" s="12" t="s">
        <v>83</v>
      </c>
      <c r="E163" s="13">
        <v>31</v>
      </c>
      <c r="F163" s="14">
        <v>7000</v>
      </c>
      <c r="G163" s="14">
        <v>4000</v>
      </c>
      <c r="H163" s="12" t="s">
        <v>106</v>
      </c>
      <c r="I163" s="12" t="s">
        <v>107</v>
      </c>
      <c r="J163" s="15">
        <f>MATCH(D163,Calculations!$A$5:$A$16,0)</f>
        <v>3</v>
      </c>
      <c r="K163" s="14">
        <f t="shared" si="8"/>
        <v>217000</v>
      </c>
      <c r="L163" s="14">
        <f t="shared" si="9"/>
        <v>124000</v>
      </c>
      <c r="M163" s="14">
        <f t="shared" si="10"/>
        <v>93000</v>
      </c>
      <c r="N163" s="16">
        <f t="shared" si="11"/>
        <v>0.42857142857142855</v>
      </c>
    </row>
    <row r="164" spans="1:14" ht="14.25" customHeight="1" x14ac:dyDescent="0.3">
      <c r="A164" s="17" t="s">
        <v>103</v>
      </c>
      <c r="B164" s="17" t="s">
        <v>100</v>
      </c>
      <c r="C164" s="17" t="s">
        <v>99</v>
      </c>
      <c r="D164" s="17" t="s">
        <v>85</v>
      </c>
      <c r="E164" s="18">
        <v>33</v>
      </c>
      <c r="F164" s="19">
        <v>7000</v>
      </c>
      <c r="G164" s="19">
        <v>4000</v>
      </c>
      <c r="H164" s="17" t="s">
        <v>104</v>
      </c>
      <c r="I164" s="17" t="s">
        <v>108</v>
      </c>
      <c r="J164" s="20">
        <f>MATCH(D164,Calculations!$A$5:$A$16,0)</f>
        <v>4</v>
      </c>
      <c r="K164" s="19">
        <f t="shared" si="8"/>
        <v>231000</v>
      </c>
      <c r="L164" s="19">
        <f t="shared" si="9"/>
        <v>132000</v>
      </c>
      <c r="M164" s="19">
        <f t="shared" si="10"/>
        <v>99000</v>
      </c>
      <c r="N164" s="21">
        <f t="shared" si="11"/>
        <v>0.42857142857142855</v>
      </c>
    </row>
    <row r="165" spans="1:14" ht="14.25" customHeight="1" x14ac:dyDescent="0.3">
      <c r="A165" s="12" t="s">
        <v>103</v>
      </c>
      <c r="B165" s="12" t="s">
        <v>100</v>
      </c>
      <c r="C165" s="12" t="s">
        <v>99</v>
      </c>
      <c r="D165" s="12" t="s">
        <v>86</v>
      </c>
      <c r="E165" s="13">
        <v>35</v>
      </c>
      <c r="F165" s="14">
        <v>7000</v>
      </c>
      <c r="G165" s="14">
        <v>4000</v>
      </c>
      <c r="H165" s="12" t="s">
        <v>106</v>
      </c>
      <c r="I165" s="12" t="s">
        <v>105</v>
      </c>
      <c r="J165" s="15">
        <f>MATCH(D165,Calculations!$A$5:$A$16,0)</f>
        <v>5</v>
      </c>
      <c r="K165" s="14">
        <f t="shared" si="8"/>
        <v>245000</v>
      </c>
      <c r="L165" s="14">
        <f t="shared" si="9"/>
        <v>140000</v>
      </c>
      <c r="M165" s="14">
        <f t="shared" si="10"/>
        <v>105000</v>
      </c>
      <c r="N165" s="16">
        <f t="shared" si="11"/>
        <v>0.42857142857142855</v>
      </c>
    </row>
    <row r="166" spans="1:14" ht="14.25" customHeight="1" x14ac:dyDescent="0.3">
      <c r="A166" s="17" t="s">
        <v>103</v>
      </c>
      <c r="B166" s="17" t="s">
        <v>100</v>
      </c>
      <c r="C166" s="17" t="s">
        <v>99</v>
      </c>
      <c r="D166" s="17" t="s">
        <v>87</v>
      </c>
      <c r="E166" s="18">
        <v>34</v>
      </c>
      <c r="F166" s="19">
        <v>7000</v>
      </c>
      <c r="G166" s="19">
        <v>4000</v>
      </c>
      <c r="H166" s="17" t="s">
        <v>104</v>
      </c>
      <c r="I166" s="17" t="s">
        <v>107</v>
      </c>
      <c r="J166" s="20">
        <f>MATCH(D166,Calculations!$A$5:$A$16,0)</f>
        <v>6</v>
      </c>
      <c r="K166" s="19">
        <f t="shared" si="8"/>
        <v>238000</v>
      </c>
      <c r="L166" s="19">
        <f t="shared" si="9"/>
        <v>136000</v>
      </c>
      <c r="M166" s="19">
        <f t="shared" si="10"/>
        <v>102000</v>
      </c>
      <c r="N166" s="21">
        <f t="shared" si="11"/>
        <v>0.42857142857142855</v>
      </c>
    </row>
    <row r="167" spans="1:14" ht="14.25" customHeight="1" x14ac:dyDescent="0.3">
      <c r="A167" s="12" t="s">
        <v>103</v>
      </c>
      <c r="B167" s="12" t="s">
        <v>100</v>
      </c>
      <c r="C167" s="12" t="s">
        <v>99</v>
      </c>
      <c r="D167" s="12" t="s">
        <v>88</v>
      </c>
      <c r="E167" s="13">
        <v>37</v>
      </c>
      <c r="F167" s="14">
        <v>7000</v>
      </c>
      <c r="G167" s="14">
        <v>4000</v>
      </c>
      <c r="H167" s="12" t="s">
        <v>106</v>
      </c>
      <c r="I167" s="12" t="s">
        <v>108</v>
      </c>
      <c r="J167" s="15">
        <f>MATCH(D167,Calculations!$A$5:$A$16,0)</f>
        <v>7</v>
      </c>
      <c r="K167" s="14">
        <f t="shared" si="8"/>
        <v>259000</v>
      </c>
      <c r="L167" s="14">
        <f t="shared" si="9"/>
        <v>148000</v>
      </c>
      <c r="M167" s="14">
        <f t="shared" si="10"/>
        <v>111000</v>
      </c>
      <c r="N167" s="16">
        <f t="shared" si="11"/>
        <v>0.42857142857142855</v>
      </c>
    </row>
    <row r="168" spans="1:14" ht="14.25" customHeight="1" x14ac:dyDescent="0.3">
      <c r="A168" s="17" t="s">
        <v>103</v>
      </c>
      <c r="B168" s="17" t="s">
        <v>100</v>
      </c>
      <c r="C168" s="17" t="s">
        <v>99</v>
      </c>
      <c r="D168" s="17" t="s">
        <v>89</v>
      </c>
      <c r="E168" s="18">
        <v>35</v>
      </c>
      <c r="F168" s="19">
        <v>7000</v>
      </c>
      <c r="G168" s="19">
        <v>4000</v>
      </c>
      <c r="H168" s="17" t="s">
        <v>104</v>
      </c>
      <c r="I168" s="17" t="s">
        <v>105</v>
      </c>
      <c r="J168" s="20">
        <f>MATCH(D168,Calculations!$A$5:$A$16,0)</f>
        <v>8</v>
      </c>
      <c r="K168" s="19">
        <f t="shared" si="8"/>
        <v>245000</v>
      </c>
      <c r="L168" s="19">
        <f t="shared" si="9"/>
        <v>140000</v>
      </c>
      <c r="M168" s="19">
        <f t="shared" si="10"/>
        <v>105000</v>
      </c>
      <c r="N168" s="21">
        <f t="shared" si="11"/>
        <v>0.42857142857142855</v>
      </c>
    </row>
    <row r="169" spans="1:14" ht="14.25" customHeight="1" x14ac:dyDescent="0.3">
      <c r="A169" s="12" t="s">
        <v>103</v>
      </c>
      <c r="B169" s="12" t="s">
        <v>100</v>
      </c>
      <c r="C169" s="12" t="s">
        <v>99</v>
      </c>
      <c r="D169" s="12" t="s">
        <v>90</v>
      </c>
      <c r="E169" s="13">
        <v>38</v>
      </c>
      <c r="F169" s="14">
        <v>7000</v>
      </c>
      <c r="G169" s="14">
        <v>4000</v>
      </c>
      <c r="H169" s="12" t="s">
        <v>106</v>
      </c>
      <c r="I169" s="12" t="s">
        <v>107</v>
      </c>
      <c r="J169" s="15">
        <f>MATCH(D169,Calculations!$A$5:$A$16,0)</f>
        <v>9</v>
      </c>
      <c r="K169" s="14">
        <f t="shared" si="8"/>
        <v>266000</v>
      </c>
      <c r="L169" s="14">
        <f t="shared" si="9"/>
        <v>152000</v>
      </c>
      <c r="M169" s="14">
        <f t="shared" si="10"/>
        <v>114000</v>
      </c>
      <c r="N169" s="16">
        <f t="shared" si="11"/>
        <v>0.42857142857142855</v>
      </c>
    </row>
    <row r="170" spans="1:14" ht="14.25" customHeight="1" x14ac:dyDescent="0.3">
      <c r="A170" s="17" t="s">
        <v>103</v>
      </c>
      <c r="B170" s="17" t="s">
        <v>100</v>
      </c>
      <c r="C170" s="17" t="s">
        <v>99</v>
      </c>
      <c r="D170" s="17" t="s">
        <v>91</v>
      </c>
      <c r="E170" s="18">
        <v>41</v>
      </c>
      <c r="F170" s="19">
        <v>7000</v>
      </c>
      <c r="G170" s="19">
        <v>4000</v>
      </c>
      <c r="H170" s="17" t="s">
        <v>104</v>
      </c>
      <c r="I170" s="17" t="s">
        <v>108</v>
      </c>
      <c r="J170" s="20">
        <f>MATCH(D170,Calculations!$A$5:$A$16,0)</f>
        <v>10</v>
      </c>
      <c r="K170" s="19">
        <f t="shared" si="8"/>
        <v>287000</v>
      </c>
      <c r="L170" s="19">
        <f t="shared" si="9"/>
        <v>164000</v>
      </c>
      <c r="M170" s="19">
        <f t="shared" si="10"/>
        <v>123000</v>
      </c>
      <c r="N170" s="21">
        <f t="shared" si="11"/>
        <v>0.42857142857142855</v>
      </c>
    </row>
    <row r="171" spans="1:14" ht="14.25" customHeight="1" x14ac:dyDescent="0.3">
      <c r="A171" s="12" t="s">
        <v>103</v>
      </c>
      <c r="B171" s="12" t="s">
        <v>100</v>
      </c>
      <c r="C171" s="12" t="s">
        <v>99</v>
      </c>
      <c r="D171" s="12" t="s">
        <v>92</v>
      </c>
      <c r="E171" s="13">
        <v>39</v>
      </c>
      <c r="F171" s="14">
        <v>7000</v>
      </c>
      <c r="G171" s="14">
        <v>4000</v>
      </c>
      <c r="H171" s="12" t="s">
        <v>106</v>
      </c>
      <c r="I171" s="12" t="s">
        <v>105</v>
      </c>
      <c r="J171" s="15">
        <f>MATCH(D171,Calculations!$A$5:$A$16,0)</f>
        <v>11</v>
      </c>
      <c r="K171" s="14">
        <f t="shared" si="8"/>
        <v>273000</v>
      </c>
      <c r="L171" s="14">
        <f t="shared" si="9"/>
        <v>156000</v>
      </c>
      <c r="M171" s="14">
        <f t="shared" si="10"/>
        <v>117000</v>
      </c>
      <c r="N171" s="16">
        <f t="shared" si="11"/>
        <v>0.42857142857142855</v>
      </c>
    </row>
    <row r="172" spans="1:14" ht="14.25" customHeight="1" x14ac:dyDescent="0.3">
      <c r="A172" s="17" t="s">
        <v>103</v>
      </c>
      <c r="B172" s="17" t="s">
        <v>100</v>
      </c>
      <c r="C172" s="17" t="s">
        <v>99</v>
      </c>
      <c r="D172" s="17" t="s">
        <v>93</v>
      </c>
      <c r="E172" s="18">
        <v>42</v>
      </c>
      <c r="F172" s="19">
        <v>7000</v>
      </c>
      <c r="G172" s="19">
        <v>4000</v>
      </c>
      <c r="H172" s="17" t="s">
        <v>104</v>
      </c>
      <c r="I172" s="17" t="s">
        <v>107</v>
      </c>
      <c r="J172" s="20">
        <f>MATCH(D172,Calculations!$A$5:$A$16,0)</f>
        <v>12</v>
      </c>
      <c r="K172" s="19">
        <f t="shared" si="8"/>
        <v>294000</v>
      </c>
      <c r="L172" s="19">
        <f t="shared" si="9"/>
        <v>168000</v>
      </c>
      <c r="M172" s="19">
        <f t="shared" si="10"/>
        <v>126000</v>
      </c>
      <c r="N172" s="21">
        <f t="shared" si="11"/>
        <v>0.42857142857142855</v>
      </c>
    </row>
    <row r="173" spans="1:14" ht="14.25" customHeight="1" x14ac:dyDescent="0.3">
      <c r="A173" s="12" t="s">
        <v>103</v>
      </c>
      <c r="B173" s="12" t="s">
        <v>101</v>
      </c>
      <c r="C173" s="12" t="s">
        <v>95</v>
      </c>
      <c r="D173" s="12" t="s">
        <v>77</v>
      </c>
      <c r="E173" s="13">
        <v>77</v>
      </c>
      <c r="F173" s="14">
        <v>3000</v>
      </c>
      <c r="G173" s="14">
        <v>1800</v>
      </c>
      <c r="H173" s="12" t="s">
        <v>104</v>
      </c>
      <c r="I173" s="12" t="s">
        <v>105</v>
      </c>
      <c r="J173" s="15">
        <f>MATCH(D173,Calculations!$A$5:$A$16,0)</f>
        <v>1</v>
      </c>
      <c r="K173" s="14">
        <f t="shared" si="8"/>
        <v>231000</v>
      </c>
      <c r="L173" s="14">
        <f t="shared" si="9"/>
        <v>138600</v>
      </c>
      <c r="M173" s="14">
        <f t="shared" si="10"/>
        <v>92400</v>
      </c>
      <c r="N173" s="16">
        <f t="shared" si="11"/>
        <v>0.4</v>
      </c>
    </row>
    <row r="174" spans="1:14" ht="14.25" customHeight="1" x14ac:dyDescent="0.3">
      <c r="A174" s="17" t="s">
        <v>103</v>
      </c>
      <c r="B174" s="17" t="s">
        <v>101</v>
      </c>
      <c r="C174" s="17" t="s">
        <v>95</v>
      </c>
      <c r="D174" s="17" t="s">
        <v>80</v>
      </c>
      <c r="E174" s="18">
        <v>75</v>
      </c>
      <c r="F174" s="19">
        <v>3000</v>
      </c>
      <c r="G174" s="19">
        <v>1800</v>
      </c>
      <c r="H174" s="17" t="s">
        <v>106</v>
      </c>
      <c r="I174" s="17" t="s">
        <v>107</v>
      </c>
      <c r="J174" s="20">
        <f>MATCH(D174,Calculations!$A$5:$A$16,0)</f>
        <v>2</v>
      </c>
      <c r="K174" s="19">
        <f t="shared" si="8"/>
        <v>225000</v>
      </c>
      <c r="L174" s="19">
        <f t="shared" si="9"/>
        <v>135000</v>
      </c>
      <c r="M174" s="19">
        <f t="shared" si="10"/>
        <v>90000</v>
      </c>
      <c r="N174" s="21">
        <f t="shared" si="11"/>
        <v>0.4</v>
      </c>
    </row>
    <row r="175" spans="1:14" ht="14.25" customHeight="1" x14ac:dyDescent="0.3">
      <c r="A175" s="12" t="s">
        <v>103</v>
      </c>
      <c r="B175" s="12" t="s">
        <v>101</v>
      </c>
      <c r="C175" s="12" t="s">
        <v>95</v>
      </c>
      <c r="D175" s="12" t="s">
        <v>83</v>
      </c>
      <c r="E175" s="13">
        <v>81</v>
      </c>
      <c r="F175" s="14">
        <v>3000</v>
      </c>
      <c r="G175" s="14">
        <v>1800</v>
      </c>
      <c r="H175" s="12" t="s">
        <v>104</v>
      </c>
      <c r="I175" s="12" t="s">
        <v>108</v>
      </c>
      <c r="J175" s="15">
        <f>MATCH(D175,Calculations!$A$5:$A$16,0)</f>
        <v>3</v>
      </c>
      <c r="K175" s="14">
        <f t="shared" si="8"/>
        <v>243000</v>
      </c>
      <c r="L175" s="14">
        <f t="shared" si="9"/>
        <v>145800</v>
      </c>
      <c r="M175" s="14">
        <f t="shared" si="10"/>
        <v>97200</v>
      </c>
      <c r="N175" s="16">
        <f t="shared" si="11"/>
        <v>0.4</v>
      </c>
    </row>
    <row r="176" spans="1:14" ht="14.25" customHeight="1" x14ac:dyDescent="0.3">
      <c r="A176" s="17" t="s">
        <v>103</v>
      </c>
      <c r="B176" s="17" t="s">
        <v>101</v>
      </c>
      <c r="C176" s="17" t="s">
        <v>95</v>
      </c>
      <c r="D176" s="17" t="s">
        <v>85</v>
      </c>
      <c r="E176" s="18">
        <v>79</v>
      </c>
      <c r="F176" s="19">
        <v>3000</v>
      </c>
      <c r="G176" s="19">
        <v>1800</v>
      </c>
      <c r="H176" s="17" t="s">
        <v>106</v>
      </c>
      <c r="I176" s="17" t="s">
        <v>105</v>
      </c>
      <c r="J176" s="20">
        <f>MATCH(D176,Calculations!$A$5:$A$16,0)</f>
        <v>4</v>
      </c>
      <c r="K176" s="19">
        <f t="shared" si="8"/>
        <v>237000</v>
      </c>
      <c r="L176" s="19">
        <f t="shared" si="9"/>
        <v>142200</v>
      </c>
      <c r="M176" s="19">
        <f t="shared" si="10"/>
        <v>94800</v>
      </c>
      <c r="N176" s="21">
        <f t="shared" si="11"/>
        <v>0.4</v>
      </c>
    </row>
    <row r="177" spans="1:14" ht="14.25" customHeight="1" x14ac:dyDescent="0.3">
      <c r="A177" s="12" t="s">
        <v>103</v>
      </c>
      <c r="B177" s="12" t="s">
        <v>101</v>
      </c>
      <c r="C177" s="12" t="s">
        <v>95</v>
      </c>
      <c r="D177" s="12" t="s">
        <v>86</v>
      </c>
      <c r="E177" s="13">
        <v>85</v>
      </c>
      <c r="F177" s="14">
        <v>3000</v>
      </c>
      <c r="G177" s="14">
        <v>1800</v>
      </c>
      <c r="H177" s="12" t="s">
        <v>104</v>
      </c>
      <c r="I177" s="12" t="s">
        <v>107</v>
      </c>
      <c r="J177" s="15">
        <f>MATCH(D177,Calculations!$A$5:$A$16,0)</f>
        <v>5</v>
      </c>
      <c r="K177" s="14">
        <f t="shared" si="8"/>
        <v>255000</v>
      </c>
      <c r="L177" s="14">
        <f t="shared" si="9"/>
        <v>153000</v>
      </c>
      <c r="M177" s="14">
        <f t="shared" si="10"/>
        <v>102000</v>
      </c>
      <c r="N177" s="16">
        <f t="shared" si="11"/>
        <v>0.4</v>
      </c>
    </row>
    <row r="178" spans="1:14" ht="14.25" customHeight="1" x14ac:dyDescent="0.3">
      <c r="A178" s="17" t="s">
        <v>103</v>
      </c>
      <c r="B178" s="17" t="s">
        <v>101</v>
      </c>
      <c r="C178" s="17" t="s">
        <v>95</v>
      </c>
      <c r="D178" s="17" t="s">
        <v>87</v>
      </c>
      <c r="E178" s="18">
        <v>91</v>
      </c>
      <c r="F178" s="19">
        <v>3000</v>
      </c>
      <c r="G178" s="19">
        <v>1800</v>
      </c>
      <c r="H178" s="17" t="s">
        <v>106</v>
      </c>
      <c r="I178" s="17" t="s">
        <v>108</v>
      </c>
      <c r="J178" s="20">
        <f>MATCH(D178,Calculations!$A$5:$A$16,0)</f>
        <v>6</v>
      </c>
      <c r="K178" s="19">
        <f t="shared" si="8"/>
        <v>273000</v>
      </c>
      <c r="L178" s="19">
        <f t="shared" si="9"/>
        <v>163800</v>
      </c>
      <c r="M178" s="19">
        <f t="shared" si="10"/>
        <v>109200</v>
      </c>
      <c r="N178" s="21">
        <f t="shared" si="11"/>
        <v>0.4</v>
      </c>
    </row>
    <row r="179" spans="1:14" ht="14.25" customHeight="1" x14ac:dyDescent="0.3">
      <c r="A179" s="12" t="s">
        <v>103</v>
      </c>
      <c r="B179" s="12" t="s">
        <v>101</v>
      </c>
      <c r="C179" s="12" t="s">
        <v>95</v>
      </c>
      <c r="D179" s="12" t="s">
        <v>88</v>
      </c>
      <c r="E179" s="13">
        <v>88</v>
      </c>
      <c r="F179" s="14">
        <v>3000</v>
      </c>
      <c r="G179" s="14">
        <v>1800</v>
      </c>
      <c r="H179" s="12" t="s">
        <v>104</v>
      </c>
      <c r="I179" s="12" t="s">
        <v>105</v>
      </c>
      <c r="J179" s="15">
        <f>MATCH(D179,Calculations!$A$5:$A$16,0)</f>
        <v>7</v>
      </c>
      <c r="K179" s="14">
        <f t="shared" si="8"/>
        <v>264000</v>
      </c>
      <c r="L179" s="14">
        <f t="shared" si="9"/>
        <v>158400</v>
      </c>
      <c r="M179" s="14">
        <f t="shared" si="10"/>
        <v>105600</v>
      </c>
      <c r="N179" s="16">
        <f t="shared" si="11"/>
        <v>0.4</v>
      </c>
    </row>
    <row r="180" spans="1:14" ht="14.25" customHeight="1" x14ac:dyDescent="0.3">
      <c r="A180" s="17" t="s">
        <v>103</v>
      </c>
      <c r="B180" s="17" t="s">
        <v>101</v>
      </c>
      <c r="C180" s="17" t="s">
        <v>95</v>
      </c>
      <c r="D180" s="17" t="s">
        <v>89</v>
      </c>
      <c r="E180" s="18">
        <v>94</v>
      </c>
      <c r="F180" s="19">
        <v>3000</v>
      </c>
      <c r="G180" s="19">
        <v>1800</v>
      </c>
      <c r="H180" s="17" t="s">
        <v>106</v>
      </c>
      <c r="I180" s="17" t="s">
        <v>107</v>
      </c>
      <c r="J180" s="20">
        <f>MATCH(D180,Calculations!$A$5:$A$16,0)</f>
        <v>8</v>
      </c>
      <c r="K180" s="19">
        <f t="shared" si="8"/>
        <v>282000</v>
      </c>
      <c r="L180" s="19">
        <f t="shared" si="9"/>
        <v>169200</v>
      </c>
      <c r="M180" s="19">
        <f t="shared" si="10"/>
        <v>112800</v>
      </c>
      <c r="N180" s="21">
        <f t="shared" si="11"/>
        <v>0.4</v>
      </c>
    </row>
    <row r="181" spans="1:14" ht="14.25" customHeight="1" x14ac:dyDescent="0.3">
      <c r="A181" s="12" t="s">
        <v>103</v>
      </c>
      <c r="B181" s="12" t="s">
        <v>101</v>
      </c>
      <c r="C181" s="12" t="s">
        <v>95</v>
      </c>
      <c r="D181" s="12" t="s">
        <v>90</v>
      </c>
      <c r="E181" s="13">
        <v>91</v>
      </c>
      <c r="F181" s="14">
        <v>3000</v>
      </c>
      <c r="G181" s="14">
        <v>1800</v>
      </c>
      <c r="H181" s="12" t="s">
        <v>104</v>
      </c>
      <c r="I181" s="12" t="s">
        <v>108</v>
      </c>
      <c r="J181" s="15">
        <f>MATCH(D181,Calculations!$A$5:$A$16,0)</f>
        <v>9</v>
      </c>
      <c r="K181" s="14">
        <f t="shared" si="8"/>
        <v>273000</v>
      </c>
      <c r="L181" s="14">
        <f t="shared" si="9"/>
        <v>163800</v>
      </c>
      <c r="M181" s="14">
        <f t="shared" si="10"/>
        <v>109200</v>
      </c>
      <c r="N181" s="16">
        <f t="shared" si="11"/>
        <v>0.4</v>
      </c>
    </row>
    <row r="182" spans="1:14" ht="14.25" customHeight="1" x14ac:dyDescent="0.3">
      <c r="A182" s="17" t="s">
        <v>103</v>
      </c>
      <c r="B182" s="17" t="s">
        <v>101</v>
      </c>
      <c r="C182" s="17" t="s">
        <v>95</v>
      </c>
      <c r="D182" s="17" t="s">
        <v>91</v>
      </c>
      <c r="E182" s="18">
        <v>98</v>
      </c>
      <c r="F182" s="19">
        <v>3000</v>
      </c>
      <c r="G182" s="19">
        <v>1800</v>
      </c>
      <c r="H182" s="17" t="s">
        <v>106</v>
      </c>
      <c r="I182" s="17" t="s">
        <v>105</v>
      </c>
      <c r="J182" s="20">
        <f>MATCH(D182,Calculations!$A$5:$A$16,0)</f>
        <v>10</v>
      </c>
      <c r="K182" s="19">
        <f t="shared" si="8"/>
        <v>294000</v>
      </c>
      <c r="L182" s="19">
        <f t="shared" si="9"/>
        <v>176400</v>
      </c>
      <c r="M182" s="19">
        <f t="shared" si="10"/>
        <v>117600</v>
      </c>
      <c r="N182" s="21">
        <f t="shared" si="11"/>
        <v>0.4</v>
      </c>
    </row>
    <row r="183" spans="1:14" ht="14.25" customHeight="1" x14ac:dyDescent="0.3">
      <c r="A183" s="12" t="s">
        <v>103</v>
      </c>
      <c r="B183" s="12" t="s">
        <v>101</v>
      </c>
      <c r="C183" s="12" t="s">
        <v>95</v>
      </c>
      <c r="D183" s="12" t="s">
        <v>92</v>
      </c>
      <c r="E183" s="13">
        <v>104</v>
      </c>
      <c r="F183" s="14">
        <v>3000</v>
      </c>
      <c r="G183" s="14">
        <v>1800</v>
      </c>
      <c r="H183" s="12" t="s">
        <v>104</v>
      </c>
      <c r="I183" s="12" t="s">
        <v>107</v>
      </c>
      <c r="J183" s="15">
        <f>MATCH(D183,Calculations!$A$5:$A$16,0)</f>
        <v>11</v>
      </c>
      <c r="K183" s="14">
        <f t="shared" si="8"/>
        <v>312000</v>
      </c>
      <c r="L183" s="14">
        <f t="shared" si="9"/>
        <v>187200</v>
      </c>
      <c r="M183" s="14">
        <f t="shared" si="10"/>
        <v>124800</v>
      </c>
      <c r="N183" s="16">
        <f t="shared" si="11"/>
        <v>0.4</v>
      </c>
    </row>
    <row r="184" spans="1:14" ht="14.25" customHeight="1" x14ac:dyDescent="0.3">
      <c r="A184" s="17" t="s">
        <v>103</v>
      </c>
      <c r="B184" s="17" t="s">
        <v>101</v>
      </c>
      <c r="C184" s="17" t="s">
        <v>95</v>
      </c>
      <c r="D184" s="17" t="s">
        <v>93</v>
      </c>
      <c r="E184" s="18">
        <v>101</v>
      </c>
      <c r="F184" s="19">
        <v>3000</v>
      </c>
      <c r="G184" s="19">
        <v>1800</v>
      </c>
      <c r="H184" s="17" t="s">
        <v>106</v>
      </c>
      <c r="I184" s="17" t="s">
        <v>108</v>
      </c>
      <c r="J184" s="20">
        <f>MATCH(D184,Calculations!$A$5:$A$16,0)</f>
        <v>12</v>
      </c>
      <c r="K184" s="19">
        <f t="shared" si="8"/>
        <v>303000</v>
      </c>
      <c r="L184" s="19">
        <f t="shared" si="9"/>
        <v>181800</v>
      </c>
      <c r="M184" s="19">
        <f t="shared" si="10"/>
        <v>121200</v>
      </c>
      <c r="N184" s="21">
        <f t="shared" si="11"/>
        <v>0.4</v>
      </c>
    </row>
    <row r="185" spans="1:14" ht="14.25" customHeight="1" x14ac:dyDescent="0.3">
      <c r="A185" s="12" t="s">
        <v>103</v>
      </c>
      <c r="B185" s="12" t="s">
        <v>102</v>
      </c>
      <c r="C185" s="12" t="s">
        <v>99</v>
      </c>
      <c r="D185" s="12" t="s">
        <v>77</v>
      </c>
      <c r="E185" s="13">
        <v>47</v>
      </c>
      <c r="F185" s="14">
        <v>4000</v>
      </c>
      <c r="G185" s="14">
        <v>2200</v>
      </c>
      <c r="H185" s="12" t="s">
        <v>106</v>
      </c>
      <c r="I185" s="12" t="s">
        <v>107</v>
      </c>
      <c r="J185" s="15">
        <f>MATCH(D185,Calculations!$A$5:$A$16,0)</f>
        <v>1</v>
      </c>
      <c r="K185" s="14">
        <f t="shared" si="8"/>
        <v>188000</v>
      </c>
      <c r="L185" s="14">
        <f t="shared" si="9"/>
        <v>103400</v>
      </c>
      <c r="M185" s="14">
        <f t="shared" si="10"/>
        <v>84600</v>
      </c>
      <c r="N185" s="16">
        <f t="shared" si="11"/>
        <v>0.45</v>
      </c>
    </row>
    <row r="186" spans="1:14" ht="14.25" customHeight="1" x14ac:dyDescent="0.3">
      <c r="A186" s="17" t="s">
        <v>103</v>
      </c>
      <c r="B186" s="17" t="s">
        <v>102</v>
      </c>
      <c r="C186" s="17" t="s">
        <v>99</v>
      </c>
      <c r="D186" s="17" t="s">
        <v>80</v>
      </c>
      <c r="E186" s="18">
        <v>51</v>
      </c>
      <c r="F186" s="19">
        <v>4000</v>
      </c>
      <c r="G186" s="19">
        <v>2200</v>
      </c>
      <c r="H186" s="17" t="s">
        <v>104</v>
      </c>
      <c r="I186" s="17" t="s">
        <v>108</v>
      </c>
      <c r="J186" s="20">
        <f>MATCH(D186,Calculations!$A$5:$A$16,0)</f>
        <v>2</v>
      </c>
      <c r="K186" s="19">
        <f t="shared" si="8"/>
        <v>204000</v>
      </c>
      <c r="L186" s="19">
        <f t="shared" si="9"/>
        <v>112200</v>
      </c>
      <c r="M186" s="19">
        <f t="shared" si="10"/>
        <v>91800</v>
      </c>
      <c r="N186" s="21">
        <f t="shared" si="11"/>
        <v>0.45</v>
      </c>
    </row>
    <row r="187" spans="1:14" ht="14.25" customHeight="1" x14ac:dyDescent="0.3">
      <c r="A187" s="12" t="s">
        <v>103</v>
      </c>
      <c r="B187" s="12" t="s">
        <v>102</v>
      </c>
      <c r="C187" s="12" t="s">
        <v>99</v>
      </c>
      <c r="D187" s="12" t="s">
        <v>83</v>
      </c>
      <c r="E187" s="13">
        <v>50</v>
      </c>
      <c r="F187" s="14">
        <v>4000</v>
      </c>
      <c r="G187" s="14">
        <v>2200</v>
      </c>
      <c r="H187" s="12" t="s">
        <v>106</v>
      </c>
      <c r="I187" s="12" t="s">
        <v>105</v>
      </c>
      <c r="J187" s="15">
        <f>MATCH(D187,Calculations!$A$5:$A$16,0)</f>
        <v>3</v>
      </c>
      <c r="K187" s="14">
        <f t="shared" si="8"/>
        <v>200000</v>
      </c>
      <c r="L187" s="14">
        <f t="shared" si="9"/>
        <v>110000</v>
      </c>
      <c r="M187" s="14">
        <f t="shared" si="10"/>
        <v>90000</v>
      </c>
      <c r="N187" s="16">
        <f t="shared" si="11"/>
        <v>0.45</v>
      </c>
    </row>
    <row r="188" spans="1:14" ht="14.25" customHeight="1" x14ac:dyDescent="0.3">
      <c r="A188" s="17" t="s">
        <v>103</v>
      </c>
      <c r="B188" s="17" t="s">
        <v>102</v>
      </c>
      <c r="C188" s="17" t="s">
        <v>99</v>
      </c>
      <c r="D188" s="17" t="s">
        <v>85</v>
      </c>
      <c r="E188" s="18">
        <v>53</v>
      </c>
      <c r="F188" s="19">
        <v>4000</v>
      </c>
      <c r="G188" s="19">
        <v>2200</v>
      </c>
      <c r="H188" s="17" t="s">
        <v>104</v>
      </c>
      <c r="I188" s="17" t="s">
        <v>107</v>
      </c>
      <c r="J188" s="20">
        <f>MATCH(D188,Calculations!$A$5:$A$16,0)</f>
        <v>4</v>
      </c>
      <c r="K188" s="19">
        <f t="shared" si="8"/>
        <v>212000</v>
      </c>
      <c r="L188" s="19">
        <f t="shared" si="9"/>
        <v>116600</v>
      </c>
      <c r="M188" s="19">
        <f t="shared" si="10"/>
        <v>95400</v>
      </c>
      <c r="N188" s="21">
        <f t="shared" si="11"/>
        <v>0.45</v>
      </c>
    </row>
    <row r="189" spans="1:14" ht="14.25" customHeight="1" x14ac:dyDescent="0.3">
      <c r="A189" s="12" t="s">
        <v>103</v>
      </c>
      <c r="B189" s="12" t="s">
        <v>102</v>
      </c>
      <c r="C189" s="12" t="s">
        <v>99</v>
      </c>
      <c r="D189" s="12" t="s">
        <v>86</v>
      </c>
      <c r="E189" s="13">
        <v>52</v>
      </c>
      <c r="F189" s="14">
        <v>4000</v>
      </c>
      <c r="G189" s="14">
        <v>2200</v>
      </c>
      <c r="H189" s="12" t="s">
        <v>106</v>
      </c>
      <c r="I189" s="12" t="s">
        <v>108</v>
      </c>
      <c r="J189" s="15">
        <f>MATCH(D189,Calculations!$A$5:$A$16,0)</f>
        <v>5</v>
      </c>
      <c r="K189" s="14">
        <f t="shared" si="8"/>
        <v>208000</v>
      </c>
      <c r="L189" s="14">
        <f t="shared" si="9"/>
        <v>114400</v>
      </c>
      <c r="M189" s="14">
        <f t="shared" si="10"/>
        <v>93600</v>
      </c>
      <c r="N189" s="16">
        <f t="shared" si="11"/>
        <v>0.45</v>
      </c>
    </row>
    <row r="190" spans="1:14" ht="14.25" customHeight="1" x14ac:dyDescent="0.3">
      <c r="A190" s="17" t="s">
        <v>103</v>
      </c>
      <c r="B190" s="17" t="s">
        <v>102</v>
      </c>
      <c r="C190" s="17" t="s">
        <v>99</v>
      </c>
      <c r="D190" s="17" t="s">
        <v>87</v>
      </c>
      <c r="E190" s="18">
        <v>56</v>
      </c>
      <c r="F190" s="19">
        <v>4000</v>
      </c>
      <c r="G190" s="19">
        <v>2200</v>
      </c>
      <c r="H190" s="17" t="s">
        <v>104</v>
      </c>
      <c r="I190" s="17" t="s">
        <v>105</v>
      </c>
      <c r="J190" s="20">
        <f>MATCH(D190,Calculations!$A$5:$A$16,0)</f>
        <v>6</v>
      </c>
      <c r="K190" s="19">
        <f t="shared" si="8"/>
        <v>224000</v>
      </c>
      <c r="L190" s="19">
        <f t="shared" si="9"/>
        <v>123200</v>
      </c>
      <c r="M190" s="19">
        <f t="shared" si="10"/>
        <v>100800</v>
      </c>
      <c r="N190" s="21">
        <f t="shared" si="11"/>
        <v>0.45</v>
      </c>
    </row>
    <row r="191" spans="1:14" ht="14.25" customHeight="1" x14ac:dyDescent="0.3">
      <c r="A191" s="12" t="s">
        <v>103</v>
      </c>
      <c r="B191" s="12" t="s">
        <v>102</v>
      </c>
      <c r="C191" s="12" t="s">
        <v>99</v>
      </c>
      <c r="D191" s="12" t="s">
        <v>88</v>
      </c>
      <c r="E191" s="13">
        <v>59</v>
      </c>
      <c r="F191" s="14">
        <v>4000</v>
      </c>
      <c r="G191" s="14">
        <v>2200</v>
      </c>
      <c r="H191" s="12" t="s">
        <v>106</v>
      </c>
      <c r="I191" s="12" t="s">
        <v>107</v>
      </c>
      <c r="J191" s="15">
        <f>MATCH(D191,Calculations!$A$5:$A$16,0)</f>
        <v>7</v>
      </c>
      <c r="K191" s="14">
        <f t="shared" si="8"/>
        <v>236000</v>
      </c>
      <c r="L191" s="14">
        <f t="shared" si="9"/>
        <v>129800</v>
      </c>
      <c r="M191" s="14">
        <f t="shared" si="10"/>
        <v>106200</v>
      </c>
      <c r="N191" s="16">
        <f t="shared" si="11"/>
        <v>0.45</v>
      </c>
    </row>
    <row r="192" spans="1:14" ht="14.25" customHeight="1" x14ac:dyDescent="0.3">
      <c r="A192" s="17" t="s">
        <v>103</v>
      </c>
      <c r="B192" s="17" t="s">
        <v>102</v>
      </c>
      <c r="C192" s="17" t="s">
        <v>99</v>
      </c>
      <c r="D192" s="17" t="s">
        <v>89</v>
      </c>
      <c r="E192" s="18">
        <v>58</v>
      </c>
      <c r="F192" s="19">
        <v>4000</v>
      </c>
      <c r="G192" s="19">
        <v>2200</v>
      </c>
      <c r="H192" s="17" t="s">
        <v>104</v>
      </c>
      <c r="I192" s="17" t="s">
        <v>108</v>
      </c>
      <c r="J192" s="20">
        <f>MATCH(D192,Calculations!$A$5:$A$16,0)</f>
        <v>8</v>
      </c>
      <c r="K192" s="19">
        <f t="shared" si="8"/>
        <v>232000</v>
      </c>
      <c r="L192" s="19">
        <f t="shared" si="9"/>
        <v>127600</v>
      </c>
      <c r="M192" s="19">
        <f t="shared" si="10"/>
        <v>104400</v>
      </c>
      <c r="N192" s="21">
        <f t="shared" si="11"/>
        <v>0.45</v>
      </c>
    </row>
    <row r="193" spans="1:14" ht="14.25" customHeight="1" x14ac:dyDescent="0.3">
      <c r="A193" s="12" t="s">
        <v>103</v>
      </c>
      <c r="B193" s="12" t="s">
        <v>102</v>
      </c>
      <c r="C193" s="12" t="s">
        <v>99</v>
      </c>
      <c r="D193" s="12" t="s">
        <v>90</v>
      </c>
      <c r="E193" s="13">
        <v>62</v>
      </c>
      <c r="F193" s="14">
        <v>4000</v>
      </c>
      <c r="G193" s="14">
        <v>2200</v>
      </c>
      <c r="H193" s="12" t="s">
        <v>106</v>
      </c>
      <c r="I193" s="12" t="s">
        <v>105</v>
      </c>
      <c r="J193" s="15">
        <f>MATCH(D193,Calculations!$A$5:$A$16,0)</f>
        <v>9</v>
      </c>
      <c r="K193" s="14">
        <f t="shared" si="8"/>
        <v>248000</v>
      </c>
      <c r="L193" s="14">
        <f t="shared" si="9"/>
        <v>136400</v>
      </c>
      <c r="M193" s="14">
        <f t="shared" si="10"/>
        <v>111600</v>
      </c>
      <c r="N193" s="16">
        <f t="shared" si="11"/>
        <v>0.45</v>
      </c>
    </row>
    <row r="194" spans="1:14" ht="14.25" customHeight="1" x14ac:dyDescent="0.3">
      <c r="A194" s="17" t="s">
        <v>103</v>
      </c>
      <c r="B194" s="17" t="s">
        <v>102</v>
      </c>
      <c r="C194" s="17" t="s">
        <v>99</v>
      </c>
      <c r="D194" s="17" t="s">
        <v>91</v>
      </c>
      <c r="E194" s="18">
        <v>60</v>
      </c>
      <c r="F194" s="19">
        <v>4000</v>
      </c>
      <c r="G194" s="19">
        <v>2200</v>
      </c>
      <c r="H194" s="17" t="s">
        <v>104</v>
      </c>
      <c r="I194" s="17" t="s">
        <v>107</v>
      </c>
      <c r="J194" s="20">
        <f>MATCH(D194,Calculations!$A$5:$A$16,0)</f>
        <v>10</v>
      </c>
      <c r="K194" s="19">
        <f t="shared" si="8"/>
        <v>240000</v>
      </c>
      <c r="L194" s="19">
        <f t="shared" si="9"/>
        <v>132000</v>
      </c>
      <c r="M194" s="19">
        <f t="shared" si="10"/>
        <v>108000</v>
      </c>
      <c r="N194" s="21">
        <f t="shared" si="11"/>
        <v>0.45</v>
      </c>
    </row>
    <row r="195" spans="1:14" ht="14.25" customHeight="1" x14ac:dyDescent="0.3">
      <c r="A195" s="12" t="s">
        <v>103</v>
      </c>
      <c r="B195" s="12" t="s">
        <v>102</v>
      </c>
      <c r="C195" s="12" t="s">
        <v>99</v>
      </c>
      <c r="D195" s="12" t="s">
        <v>92</v>
      </c>
      <c r="E195" s="13">
        <v>64</v>
      </c>
      <c r="F195" s="14">
        <v>4000</v>
      </c>
      <c r="G195" s="14">
        <v>2200</v>
      </c>
      <c r="H195" s="12" t="s">
        <v>106</v>
      </c>
      <c r="I195" s="12" t="s">
        <v>108</v>
      </c>
      <c r="J195" s="15">
        <f>MATCH(D195,Calculations!$A$5:$A$16,0)</f>
        <v>11</v>
      </c>
      <c r="K195" s="14">
        <f t="shared" si="8"/>
        <v>256000</v>
      </c>
      <c r="L195" s="14">
        <f t="shared" si="9"/>
        <v>140800</v>
      </c>
      <c r="M195" s="14">
        <f t="shared" si="10"/>
        <v>115200</v>
      </c>
      <c r="N195" s="16">
        <f t="shared" si="11"/>
        <v>0.45</v>
      </c>
    </row>
    <row r="196" spans="1:14" ht="14.25" customHeight="1" x14ac:dyDescent="0.3">
      <c r="A196" s="17" t="s">
        <v>103</v>
      </c>
      <c r="B196" s="17" t="s">
        <v>102</v>
      </c>
      <c r="C196" s="17" t="s">
        <v>99</v>
      </c>
      <c r="D196" s="17" t="s">
        <v>93</v>
      </c>
      <c r="E196" s="18">
        <v>68</v>
      </c>
      <c r="F196" s="19">
        <v>4000</v>
      </c>
      <c r="G196" s="19">
        <v>2200</v>
      </c>
      <c r="H196" s="17" t="s">
        <v>104</v>
      </c>
      <c r="I196" s="17" t="s">
        <v>105</v>
      </c>
      <c r="J196" s="20">
        <f>MATCH(D196,Calculations!$A$5:$A$16,0)</f>
        <v>12</v>
      </c>
      <c r="K196" s="19">
        <f t="shared" si="8"/>
        <v>272000</v>
      </c>
      <c r="L196" s="19">
        <f t="shared" si="9"/>
        <v>149600</v>
      </c>
      <c r="M196" s="19">
        <f t="shared" si="10"/>
        <v>122400</v>
      </c>
      <c r="N196" s="21">
        <f t="shared" si="11"/>
        <v>0.45</v>
      </c>
    </row>
    <row r="197" spans="1:14" ht="14.25" customHeight="1" x14ac:dyDescent="0.3">
      <c r="A197" s="12" t="s">
        <v>109</v>
      </c>
      <c r="B197" s="12" t="s">
        <v>75</v>
      </c>
      <c r="C197" s="12" t="s">
        <v>76</v>
      </c>
      <c r="D197" s="12" t="s">
        <v>77</v>
      </c>
      <c r="E197" s="13">
        <v>21</v>
      </c>
      <c r="F197" s="14">
        <v>25000</v>
      </c>
      <c r="G197" s="14">
        <v>17000</v>
      </c>
      <c r="H197" s="12" t="s">
        <v>110</v>
      </c>
      <c r="I197" s="12" t="s">
        <v>111</v>
      </c>
      <c r="J197" s="15">
        <f>MATCH(D197,Calculations!$A$5:$A$16,0)</f>
        <v>1</v>
      </c>
      <c r="K197" s="14">
        <f t="shared" ref="K197:K260" si="12">E197*F197</f>
        <v>525000</v>
      </c>
      <c r="L197" s="14">
        <f t="shared" ref="L197:L260" si="13">E197*G197</f>
        <v>357000</v>
      </c>
      <c r="M197" s="14">
        <f t="shared" ref="M197:M260" si="14">K197-L197</f>
        <v>168000</v>
      </c>
      <c r="N197" s="16">
        <f t="shared" ref="N197:N260" si="15">IFERROR(M197/K197,0)</f>
        <v>0.32</v>
      </c>
    </row>
    <row r="198" spans="1:14" ht="14.25" customHeight="1" x14ac:dyDescent="0.3">
      <c r="A198" s="17" t="s">
        <v>109</v>
      </c>
      <c r="B198" s="17" t="s">
        <v>75</v>
      </c>
      <c r="C198" s="17" t="s">
        <v>76</v>
      </c>
      <c r="D198" s="17" t="s">
        <v>80</v>
      </c>
      <c r="E198" s="18">
        <v>23</v>
      </c>
      <c r="F198" s="19">
        <v>25000</v>
      </c>
      <c r="G198" s="19">
        <v>17000</v>
      </c>
      <c r="H198" s="17" t="s">
        <v>112</v>
      </c>
      <c r="I198" s="17" t="s">
        <v>113</v>
      </c>
      <c r="J198" s="20">
        <f>MATCH(D198,Calculations!$A$5:$A$16,0)</f>
        <v>2</v>
      </c>
      <c r="K198" s="19">
        <f t="shared" si="12"/>
        <v>575000</v>
      </c>
      <c r="L198" s="19">
        <f t="shared" si="13"/>
        <v>391000</v>
      </c>
      <c r="M198" s="19">
        <f t="shared" si="14"/>
        <v>184000</v>
      </c>
      <c r="N198" s="21">
        <f t="shared" si="15"/>
        <v>0.32</v>
      </c>
    </row>
    <row r="199" spans="1:14" ht="14.25" customHeight="1" x14ac:dyDescent="0.3">
      <c r="A199" s="12" t="s">
        <v>109</v>
      </c>
      <c r="B199" s="12" t="s">
        <v>75</v>
      </c>
      <c r="C199" s="12" t="s">
        <v>76</v>
      </c>
      <c r="D199" s="12" t="s">
        <v>83</v>
      </c>
      <c r="E199" s="13">
        <v>22</v>
      </c>
      <c r="F199" s="14">
        <v>25000</v>
      </c>
      <c r="G199" s="14">
        <v>17000</v>
      </c>
      <c r="H199" s="12" t="s">
        <v>110</v>
      </c>
      <c r="I199" s="12" t="s">
        <v>114</v>
      </c>
      <c r="J199" s="15">
        <f>MATCH(D199,Calculations!$A$5:$A$16,0)</f>
        <v>3</v>
      </c>
      <c r="K199" s="14">
        <f t="shared" si="12"/>
        <v>550000</v>
      </c>
      <c r="L199" s="14">
        <f t="shared" si="13"/>
        <v>374000</v>
      </c>
      <c r="M199" s="14">
        <f t="shared" si="14"/>
        <v>176000</v>
      </c>
      <c r="N199" s="16">
        <f t="shared" si="15"/>
        <v>0.32</v>
      </c>
    </row>
    <row r="200" spans="1:14" ht="14.25" customHeight="1" x14ac:dyDescent="0.3">
      <c r="A200" s="17" t="s">
        <v>109</v>
      </c>
      <c r="B200" s="17" t="s">
        <v>75</v>
      </c>
      <c r="C200" s="17" t="s">
        <v>76</v>
      </c>
      <c r="D200" s="17" t="s">
        <v>85</v>
      </c>
      <c r="E200" s="18">
        <v>24</v>
      </c>
      <c r="F200" s="19">
        <v>25000</v>
      </c>
      <c r="G200" s="19">
        <v>17000</v>
      </c>
      <c r="H200" s="17" t="s">
        <v>112</v>
      </c>
      <c r="I200" s="17" t="s">
        <v>111</v>
      </c>
      <c r="J200" s="20">
        <f>MATCH(D200,Calculations!$A$5:$A$16,0)</f>
        <v>4</v>
      </c>
      <c r="K200" s="19">
        <f t="shared" si="12"/>
        <v>600000</v>
      </c>
      <c r="L200" s="19">
        <f t="shared" si="13"/>
        <v>408000</v>
      </c>
      <c r="M200" s="19">
        <f t="shared" si="14"/>
        <v>192000</v>
      </c>
      <c r="N200" s="21">
        <f t="shared" si="15"/>
        <v>0.32</v>
      </c>
    </row>
    <row r="201" spans="1:14" ht="14.25" customHeight="1" x14ac:dyDescent="0.3">
      <c r="A201" s="12" t="s">
        <v>109</v>
      </c>
      <c r="B201" s="12" t="s">
        <v>75</v>
      </c>
      <c r="C201" s="12" t="s">
        <v>76</v>
      </c>
      <c r="D201" s="12" t="s">
        <v>86</v>
      </c>
      <c r="E201" s="13">
        <v>23</v>
      </c>
      <c r="F201" s="14">
        <v>25000</v>
      </c>
      <c r="G201" s="14">
        <v>17000</v>
      </c>
      <c r="H201" s="12" t="s">
        <v>110</v>
      </c>
      <c r="I201" s="12" t="s">
        <v>113</v>
      </c>
      <c r="J201" s="15">
        <f>MATCH(D201,Calculations!$A$5:$A$16,0)</f>
        <v>5</v>
      </c>
      <c r="K201" s="14">
        <f t="shared" si="12"/>
        <v>575000</v>
      </c>
      <c r="L201" s="14">
        <f t="shared" si="13"/>
        <v>391000</v>
      </c>
      <c r="M201" s="14">
        <f t="shared" si="14"/>
        <v>184000</v>
      </c>
      <c r="N201" s="16">
        <f t="shared" si="15"/>
        <v>0.32</v>
      </c>
    </row>
    <row r="202" spans="1:14" ht="14.25" customHeight="1" x14ac:dyDescent="0.3">
      <c r="A202" s="17" t="s">
        <v>109</v>
      </c>
      <c r="B202" s="17" t="s">
        <v>75</v>
      </c>
      <c r="C202" s="17" t="s">
        <v>76</v>
      </c>
      <c r="D202" s="17" t="s">
        <v>87</v>
      </c>
      <c r="E202" s="18">
        <v>25</v>
      </c>
      <c r="F202" s="19">
        <v>25000</v>
      </c>
      <c r="G202" s="19">
        <v>17000</v>
      </c>
      <c r="H202" s="17" t="s">
        <v>112</v>
      </c>
      <c r="I202" s="17" t="s">
        <v>114</v>
      </c>
      <c r="J202" s="20">
        <f>MATCH(D202,Calculations!$A$5:$A$16,0)</f>
        <v>6</v>
      </c>
      <c r="K202" s="19">
        <f t="shared" si="12"/>
        <v>625000</v>
      </c>
      <c r="L202" s="19">
        <f t="shared" si="13"/>
        <v>425000</v>
      </c>
      <c r="M202" s="19">
        <f t="shared" si="14"/>
        <v>200000</v>
      </c>
      <c r="N202" s="21">
        <f t="shared" si="15"/>
        <v>0.32</v>
      </c>
    </row>
    <row r="203" spans="1:14" ht="14.25" customHeight="1" x14ac:dyDescent="0.3">
      <c r="A203" s="12" t="s">
        <v>109</v>
      </c>
      <c r="B203" s="12" t="s">
        <v>75</v>
      </c>
      <c r="C203" s="12" t="s">
        <v>76</v>
      </c>
      <c r="D203" s="12" t="s">
        <v>88</v>
      </c>
      <c r="E203" s="13">
        <v>27</v>
      </c>
      <c r="F203" s="14">
        <v>25000</v>
      </c>
      <c r="G203" s="14">
        <v>17000</v>
      </c>
      <c r="H203" s="12" t="s">
        <v>110</v>
      </c>
      <c r="I203" s="12" t="s">
        <v>111</v>
      </c>
      <c r="J203" s="15">
        <f>MATCH(D203,Calculations!$A$5:$A$16,0)</f>
        <v>7</v>
      </c>
      <c r="K203" s="14">
        <f t="shared" si="12"/>
        <v>675000</v>
      </c>
      <c r="L203" s="14">
        <f t="shared" si="13"/>
        <v>459000</v>
      </c>
      <c r="M203" s="14">
        <f t="shared" si="14"/>
        <v>216000</v>
      </c>
      <c r="N203" s="16">
        <f t="shared" si="15"/>
        <v>0.32</v>
      </c>
    </row>
    <row r="204" spans="1:14" ht="14.25" customHeight="1" x14ac:dyDescent="0.3">
      <c r="A204" s="17" t="s">
        <v>109</v>
      </c>
      <c r="B204" s="17" t="s">
        <v>75</v>
      </c>
      <c r="C204" s="17" t="s">
        <v>76</v>
      </c>
      <c r="D204" s="17" t="s">
        <v>89</v>
      </c>
      <c r="E204" s="18">
        <v>26</v>
      </c>
      <c r="F204" s="19">
        <v>25000</v>
      </c>
      <c r="G204" s="19">
        <v>17000</v>
      </c>
      <c r="H204" s="17" t="s">
        <v>112</v>
      </c>
      <c r="I204" s="17" t="s">
        <v>113</v>
      </c>
      <c r="J204" s="20">
        <f>MATCH(D204,Calculations!$A$5:$A$16,0)</f>
        <v>8</v>
      </c>
      <c r="K204" s="19">
        <f t="shared" si="12"/>
        <v>650000</v>
      </c>
      <c r="L204" s="19">
        <f t="shared" si="13"/>
        <v>442000</v>
      </c>
      <c r="M204" s="19">
        <f t="shared" si="14"/>
        <v>208000</v>
      </c>
      <c r="N204" s="21">
        <f t="shared" si="15"/>
        <v>0.32</v>
      </c>
    </row>
    <row r="205" spans="1:14" ht="14.25" customHeight="1" x14ac:dyDescent="0.3">
      <c r="A205" s="12" t="s">
        <v>109</v>
      </c>
      <c r="B205" s="12" t="s">
        <v>75</v>
      </c>
      <c r="C205" s="12" t="s">
        <v>76</v>
      </c>
      <c r="D205" s="12" t="s">
        <v>90</v>
      </c>
      <c r="E205" s="13">
        <v>28</v>
      </c>
      <c r="F205" s="14">
        <v>25000</v>
      </c>
      <c r="G205" s="14">
        <v>17000</v>
      </c>
      <c r="H205" s="12" t="s">
        <v>110</v>
      </c>
      <c r="I205" s="12" t="s">
        <v>114</v>
      </c>
      <c r="J205" s="15">
        <f>MATCH(D205,Calculations!$A$5:$A$16,0)</f>
        <v>9</v>
      </c>
      <c r="K205" s="14">
        <f t="shared" si="12"/>
        <v>700000</v>
      </c>
      <c r="L205" s="14">
        <f t="shared" si="13"/>
        <v>476000</v>
      </c>
      <c r="M205" s="14">
        <f t="shared" si="14"/>
        <v>224000</v>
      </c>
      <c r="N205" s="16">
        <f t="shared" si="15"/>
        <v>0.32</v>
      </c>
    </row>
    <row r="206" spans="1:14" ht="14.25" customHeight="1" x14ac:dyDescent="0.3">
      <c r="A206" s="17" t="s">
        <v>109</v>
      </c>
      <c r="B206" s="17" t="s">
        <v>75</v>
      </c>
      <c r="C206" s="17" t="s">
        <v>76</v>
      </c>
      <c r="D206" s="17" t="s">
        <v>91</v>
      </c>
      <c r="E206" s="18">
        <v>27</v>
      </c>
      <c r="F206" s="19">
        <v>25000</v>
      </c>
      <c r="G206" s="19">
        <v>17000</v>
      </c>
      <c r="H206" s="17" t="s">
        <v>112</v>
      </c>
      <c r="I206" s="17" t="s">
        <v>111</v>
      </c>
      <c r="J206" s="20">
        <f>MATCH(D206,Calculations!$A$5:$A$16,0)</f>
        <v>10</v>
      </c>
      <c r="K206" s="19">
        <f t="shared" si="12"/>
        <v>675000</v>
      </c>
      <c r="L206" s="19">
        <f t="shared" si="13"/>
        <v>459000</v>
      </c>
      <c r="M206" s="19">
        <f t="shared" si="14"/>
        <v>216000</v>
      </c>
      <c r="N206" s="21">
        <f t="shared" si="15"/>
        <v>0.32</v>
      </c>
    </row>
    <row r="207" spans="1:14" ht="14.25" customHeight="1" x14ac:dyDescent="0.3">
      <c r="A207" s="12" t="s">
        <v>109</v>
      </c>
      <c r="B207" s="12" t="s">
        <v>75</v>
      </c>
      <c r="C207" s="12" t="s">
        <v>76</v>
      </c>
      <c r="D207" s="12" t="s">
        <v>92</v>
      </c>
      <c r="E207" s="13">
        <v>29</v>
      </c>
      <c r="F207" s="14">
        <v>25000</v>
      </c>
      <c r="G207" s="14">
        <v>17000</v>
      </c>
      <c r="H207" s="12" t="s">
        <v>110</v>
      </c>
      <c r="I207" s="12" t="s">
        <v>113</v>
      </c>
      <c r="J207" s="15">
        <f>MATCH(D207,Calculations!$A$5:$A$16,0)</f>
        <v>11</v>
      </c>
      <c r="K207" s="14">
        <f t="shared" si="12"/>
        <v>725000</v>
      </c>
      <c r="L207" s="14">
        <f t="shared" si="13"/>
        <v>493000</v>
      </c>
      <c r="M207" s="14">
        <f t="shared" si="14"/>
        <v>232000</v>
      </c>
      <c r="N207" s="16">
        <f t="shared" si="15"/>
        <v>0.32</v>
      </c>
    </row>
    <row r="208" spans="1:14" ht="14.25" customHeight="1" x14ac:dyDescent="0.3">
      <c r="A208" s="17" t="s">
        <v>109</v>
      </c>
      <c r="B208" s="17" t="s">
        <v>75</v>
      </c>
      <c r="C208" s="17" t="s">
        <v>76</v>
      </c>
      <c r="D208" s="17" t="s">
        <v>93</v>
      </c>
      <c r="E208" s="18">
        <v>31</v>
      </c>
      <c r="F208" s="19">
        <v>25000</v>
      </c>
      <c r="G208" s="19">
        <v>17000</v>
      </c>
      <c r="H208" s="17" t="s">
        <v>112</v>
      </c>
      <c r="I208" s="17" t="s">
        <v>114</v>
      </c>
      <c r="J208" s="20">
        <f>MATCH(D208,Calculations!$A$5:$A$16,0)</f>
        <v>12</v>
      </c>
      <c r="K208" s="19">
        <f t="shared" si="12"/>
        <v>775000</v>
      </c>
      <c r="L208" s="19">
        <f t="shared" si="13"/>
        <v>527000</v>
      </c>
      <c r="M208" s="19">
        <f t="shared" si="14"/>
        <v>248000</v>
      </c>
      <c r="N208" s="21">
        <f t="shared" si="15"/>
        <v>0.32</v>
      </c>
    </row>
    <row r="209" spans="1:14" ht="14.25" customHeight="1" x14ac:dyDescent="0.3">
      <c r="A209" s="12" t="s">
        <v>109</v>
      </c>
      <c r="B209" s="12" t="s">
        <v>94</v>
      </c>
      <c r="C209" s="12" t="s">
        <v>95</v>
      </c>
      <c r="D209" s="12" t="s">
        <v>77</v>
      </c>
      <c r="E209" s="13">
        <v>49</v>
      </c>
      <c r="F209" s="14">
        <v>5000</v>
      </c>
      <c r="G209" s="14">
        <v>3000</v>
      </c>
      <c r="H209" s="12" t="s">
        <v>112</v>
      </c>
      <c r="I209" s="12" t="s">
        <v>113</v>
      </c>
      <c r="J209" s="15">
        <f>MATCH(D209,Calculations!$A$5:$A$16,0)</f>
        <v>1</v>
      </c>
      <c r="K209" s="14">
        <f t="shared" si="12"/>
        <v>245000</v>
      </c>
      <c r="L209" s="14">
        <f t="shared" si="13"/>
        <v>147000</v>
      </c>
      <c r="M209" s="14">
        <f t="shared" si="14"/>
        <v>98000</v>
      </c>
      <c r="N209" s="16">
        <f t="shared" si="15"/>
        <v>0.4</v>
      </c>
    </row>
    <row r="210" spans="1:14" ht="14.25" customHeight="1" x14ac:dyDescent="0.3">
      <c r="A210" s="17" t="s">
        <v>109</v>
      </c>
      <c r="B210" s="17" t="s">
        <v>94</v>
      </c>
      <c r="C210" s="17" t="s">
        <v>95</v>
      </c>
      <c r="D210" s="17" t="s">
        <v>80</v>
      </c>
      <c r="E210" s="18">
        <v>53</v>
      </c>
      <c r="F210" s="19">
        <v>5000</v>
      </c>
      <c r="G210" s="19">
        <v>3000</v>
      </c>
      <c r="H210" s="17" t="s">
        <v>110</v>
      </c>
      <c r="I210" s="17" t="s">
        <v>114</v>
      </c>
      <c r="J210" s="20">
        <f>MATCH(D210,Calculations!$A$5:$A$16,0)</f>
        <v>2</v>
      </c>
      <c r="K210" s="19">
        <f t="shared" si="12"/>
        <v>265000</v>
      </c>
      <c r="L210" s="19">
        <f t="shared" si="13"/>
        <v>159000</v>
      </c>
      <c r="M210" s="19">
        <f t="shared" si="14"/>
        <v>106000</v>
      </c>
      <c r="N210" s="21">
        <f t="shared" si="15"/>
        <v>0.4</v>
      </c>
    </row>
    <row r="211" spans="1:14" ht="14.25" customHeight="1" x14ac:dyDescent="0.3">
      <c r="A211" s="12" t="s">
        <v>109</v>
      </c>
      <c r="B211" s="12" t="s">
        <v>94</v>
      </c>
      <c r="C211" s="12" t="s">
        <v>95</v>
      </c>
      <c r="D211" s="12" t="s">
        <v>83</v>
      </c>
      <c r="E211" s="13">
        <v>57</v>
      </c>
      <c r="F211" s="14">
        <v>5000</v>
      </c>
      <c r="G211" s="14">
        <v>3000</v>
      </c>
      <c r="H211" s="12" t="s">
        <v>112</v>
      </c>
      <c r="I211" s="12" t="s">
        <v>111</v>
      </c>
      <c r="J211" s="15">
        <f>MATCH(D211,Calculations!$A$5:$A$16,0)</f>
        <v>3</v>
      </c>
      <c r="K211" s="14">
        <f t="shared" si="12"/>
        <v>285000</v>
      </c>
      <c r="L211" s="14">
        <f t="shared" si="13"/>
        <v>171000</v>
      </c>
      <c r="M211" s="14">
        <f t="shared" si="14"/>
        <v>114000</v>
      </c>
      <c r="N211" s="16">
        <f t="shared" si="15"/>
        <v>0.4</v>
      </c>
    </row>
    <row r="212" spans="1:14" ht="14.25" customHeight="1" x14ac:dyDescent="0.3">
      <c r="A212" s="17" t="s">
        <v>109</v>
      </c>
      <c r="B212" s="17" t="s">
        <v>94</v>
      </c>
      <c r="C212" s="17" t="s">
        <v>95</v>
      </c>
      <c r="D212" s="17" t="s">
        <v>85</v>
      </c>
      <c r="E212" s="18">
        <v>55</v>
      </c>
      <c r="F212" s="19">
        <v>5000</v>
      </c>
      <c r="G212" s="19">
        <v>3000</v>
      </c>
      <c r="H212" s="17" t="s">
        <v>110</v>
      </c>
      <c r="I212" s="17" t="s">
        <v>113</v>
      </c>
      <c r="J212" s="20">
        <f>MATCH(D212,Calculations!$A$5:$A$16,0)</f>
        <v>4</v>
      </c>
      <c r="K212" s="19">
        <f t="shared" si="12"/>
        <v>275000</v>
      </c>
      <c r="L212" s="19">
        <f t="shared" si="13"/>
        <v>165000</v>
      </c>
      <c r="M212" s="19">
        <f t="shared" si="14"/>
        <v>110000</v>
      </c>
      <c r="N212" s="21">
        <f t="shared" si="15"/>
        <v>0.4</v>
      </c>
    </row>
    <row r="213" spans="1:14" ht="14.25" customHeight="1" x14ac:dyDescent="0.3">
      <c r="A213" s="12" t="s">
        <v>109</v>
      </c>
      <c r="B213" s="12" t="s">
        <v>94</v>
      </c>
      <c r="C213" s="12" t="s">
        <v>95</v>
      </c>
      <c r="D213" s="12" t="s">
        <v>86</v>
      </c>
      <c r="E213" s="13">
        <v>59</v>
      </c>
      <c r="F213" s="14">
        <v>5000</v>
      </c>
      <c r="G213" s="14">
        <v>3000</v>
      </c>
      <c r="H213" s="12" t="s">
        <v>112</v>
      </c>
      <c r="I213" s="12" t="s">
        <v>114</v>
      </c>
      <c r="J213" s="15">
        <f>MATCH(D213,Calculations!$A$5:$A$16,0)</f>
        <v>5</v>
      </c>
      <c r="K213" s="14">
        <f t="shared" si="12"/>
        <v>295000</v>
      </c>
      <c r="L213" s="14">
        <f t="shared" si="13"/>
        <v>177000</v>
      </c>
      <c r="M213" s="14">
        <f t="shared" si="14"/>
        <v>118000</v>
      </c>
      <c r="N213" s="16">
        <f t="shared" si="15"/>
        <v>0.4</v>
      </c>
    </row>
    <row r="214" spans="1:14" ht="14.25" customHeight="1" x14ac:dyDescent="0.3">
      <c r="A214" s="17" t="s">
        <v>109</v>
      </c>
      <c r="B214" s="17" t="s">
        <v>94</v>
      </c>
      <c r="C214" s="17" t="s">
        <v>95</v>
      </c>
      <c r="D214" s="17" t="s">
        <v>87</v>
      </c>
      <c r="E214" s="18">
        <v>58</v>
      </c>
      <c r="F214" s="19">
        <v>5000</v>
      </c>
      <c r="G214" s="19">
        <v>3000</v>
      </c>
      <c r="H214" s="17" t="s">
        <v>110</v>
      </c>
      <c r="I214" s="17" t="s">
        <v>111</v>
      </c>
      <c r="J214" s="20">
        <f>MATCH(D214,Calculations!$A$5:$A$16,0)</f>
        <v>6</v>
      </c>
      <c r="K214" s="19">
        <f t="shared" si="12"/>
        <v>290000</v>
      </c>
      <c r="L214" s="19">
        <f t="shared" si="13"/>
        <v>174000</v>
      </c>
      <c r="M214" s="19">
        <f t="shared" si="14"/>
        <v>116000</v>
      </c>
      <c r="N214" s="21">
        <f t="shared" si="15"/>
        <v>0.4</v>
      </c>
    </row>
    <row r="215" spans="1:14" ht="14.25" customHeight="1" x14ac:dyDescent="0.3">
      <c r="A215" s="12" t="s">
        <v>109</v>
      </c>
      <c r="B215" s="12" t="s">
        <v>94</v>
      </c>
      <c r="C215" s="12" t="s">
        <v>95</v>
      </c>
      <c r="D215" s="12" t="s">
        <v>88</v>
      </c>
      <c r="E215" s="13">
        <v>62</v>
      </c>
      <c r="F215" s="14">
        <v>5000</v>
      </c>
      <c r="G215" s="14">
        <v>3000</v>
      </c>
      <c r="H215" s="12" t="s">
        <v>112</v>
      </c>
      <c r="I215" s="12" t="s">
        <v>113</v>
      </c>
      <c r="J215" s="15">
        <f>MATCH(D215,Calculations!$A$5:$A$16,0)</f>
        <v>7</v>
      </c>
      <c r="K215" s="14">
        <f t="shared" si="12"/>
        <v>310000</v>
      </c>
      <c r="L215" s="14">
        <f t="shared" si="13"/>
        <v>186000</v>
      </c>
      <c r="M215" s="14">
        <f t="shared" si="14"/>
        <v>124000</v>
      </c>
      <c r="N215" s="16">
        <f t="shared" si="15"/>
        <v>0.4</v>
      </c>
    </row>
    <row r="216" spans="1:14" ht="14.25" customHeight="1" x14ac:dyDescent="0.3">
      <c r="A216" s="17" t="s">
        <v>109</v>
      </c>
      <c r="B216" s="17" t="s">
        <v>94</v>
      </c>
      <c r="C216" s="17" t="s">
        <v>95</v>
      </c>
      <c r="D216" s="17" t="s">
        <v>89</v>
      </c>
      <c r="E216" s="18">
        <v>66</v>
      </c>
      <c r="F216" s="19">
        <v>5000</v>
      </c>
      <c r="G216" s="19">
        <v>3000</v>
      </c>
      <c r="H216" s="17" t="s">
        <v>110</v>
      </c>
      <c r="I216" s="17" t="s">
        <v>114</v>
      </c>
      <c r="J216" s="20">
        <f>MATCH(D216,Calculations!$A$5:$A$16,0)</f>
        <v>8</v>
      </c>
      <c r="K216" s="19">
        <f t="shared" si="12"/>
        <v>330000</v>
      </c>
      <c r="L216" s="19">
        <f t="shared" si="13"/>
        <v>198000</v>
      </c>
      <c r="M216" s="19">
        <f t="shared" si="14"/>
        <v>132000</v>
      </c>
      <c r="N216" s="21">
        <f t="shared" si="15"/>
        <v>0.4</v>
      </c>
    </row>
    <row r="217" spans="1:14" ht="14.25" customHeight="1" x14ac:dyDescent="0.3">
      <c r="A217" s="12" t="s">
        <v>109</v>
      </c>
      <c r="B217" s="12" t="s">
        <v>94</v>
      </c>
      <c r="C217" s="12" t="s">
        <v>95</v>
      </c>
      <c r="D217" s="12" t="s">
        <v>90</v>
      </c>
      <c r="E217" s="13">
        <v>64</v>
      </c>
      <c r="F217" s="14">
        <v>5000</v>
      </c>
      <c r="G217" s="14">
        <v>3000</v>
      </c>
      <c r="H217" s="12" t="s">
        <v>112</v>
      </c>
      <c r="I217" s="12" t="s">
        <v>111</v>
      </c>
      <c r="J217" s="15">
        <f>MATCH(D217,Calculations!$A$5:$A$16,0)</f>
        <v>9</v>
      </c>
      <c r="K217" s="14">
        <f t="shared" si="12"/>
        <v>320000</v>
      </c>
      <c r="L217" s="14">
        <f t="shared" si="13"/>
        <v>192000</v>
      </c>
      <c r="M217" s="14">
        <f t="shared" si="14"/>
        <v>128000</v>
      </c>
      <c r="N217" s="16">
        <f t="shared" si="15"/>
        <v>0.4</v>
      </c>
    </row>
    <row r="218" spans="1:14" ht="14.25" customHeight="1" x14ac:dyDescent="0.3">
      <c r="A218" s="17" t="s">
        <v>109</v>
      </c>
      <c r="B218" s="17" t="s">
        <v>94</v>
      </c>
      <c r="C218" s="17" t="s">
        <v>95</v>
      </c>
      <c r="D218" s="17" t="s">
        <v>91</v>
      </c>
      <c r="E218" s="18">
        <v>68</v>
      </c>
      <c r="F218" s="19">
        <v>5000</v>
      </c>
      <c r="G218" s="19">
        <v>3000</v>
      </c>
      <c r="H218" s="17" t="s">
        <v>110</v>
      </c>
      <c r="I218" s="17" t="s">
        <v>113</v>
      </c>
      <c r="J218" s="20">
        <f>MATCH(D218,Calculations!$A$5:$A$16,0)</f>
        <v>10</v>
      </c>
      <c r="K218" s="19">
        <f t="shared" si="12"/>
        <v>340000</v>
      </c>
      <c r="L218" s="19">
        <f t="shared" si="13"/>
        <v>204000</v>
      </c>
      <c r="M218" s="19">
        <f t="shared" si="14"/>
        <v>136000</v>
      </c>
      <c r="N218" s="21">
        <f t="shared" si="15"/>
        <v>0.4</v>
      </c>
    </row>
    <row r="219" spans="1:14" ht="14.25" customHeight="1" x14ac:dyDescent="0.3">
      <c r="A219" s="12" t="s">
        <v>109</v>
      </c>
      <c r="B219" s="12" t="s">
        <v>94</v>
      </c>
      <c r="C219" s="12" t="s">
        <v>95</v>
      </c>
      <c r="D219" s="12" t="s">
        <v>92</v>
      </c>
      <c r="E219" s="13">
        <v>66</v>
      </c>
      <c r="F219" s="14">
        <v>5000</v>
      </c>
      <c r="G219" s="14">
        <v>3000</v>
      </c>
      <c r="H219" s="12" t="s">
        <v>112</v>
      </c>
      <c r="I219" s="12" t="s">
        <v>114</v>
      </c>
      <c r="J219" s="15">
        <f>MATCH(D219,Calculations!$A$5:$A$16,0)</f>
        <v>11</v>
      </c>
      <c r="K219" s="14">
        <f t="shared" si="12"/>
        <v>330000</v>
      </c>
      <c r="L219" s="14">
        <f t="shared" si="13"/>
        <v>198000</v>
      </c>
      <c r="M219" s="14">
        <f t="shared" si="14"/>
        <v>132000</v>
      </c>
      <c r="N219" s="16">
        <f t="shared" si="15"/>
        <v>0.4</v>
      </c>
    </row>
    <row r="220" spans="1:14" ht="14.25" customHeight="1" x14ac:dyDescent="0.3">
      <c r="A220" s="17" t="s">
        <v>109</v>
      </c>
      <c r="B220" s="17" t="s">
        <v>94</v>
      </c>
      <c r="C220" s="17" t="s">
        <v>95</v>
      </c>
      <c r="D220" s="17" t="s">
        <v>93</v>
      </c>
      <c r="E220" s="18">
        <v>71</v>
      </c>
      <c r="F220" s="19">
        <v>5000</v>
      </c>
      <c r="G220" s="19">
        <v>3000</v>
      </c>
      <c r="H220" s="17" t="s">
        <v>110</v>
      </c>
      <c r="I220" s="17" t="s">
        <v>111</v>
      </c>
      <c r="J220" s="20">
        <f>MATCH(D220,Calculations!$A$5:$A$16,0)</f>
        <v>12</v>
      </c>
      <c r="K220" s="19">
        <f t="shared" si="12"/>
        <v>355000</v>
      </c>
      <c r="L220" s="19">
        <f t="shared" si="13"/>
        <v>213000</v>
      </c>
      <c r="M220" s="19">
        <f t="shared" si="14"/>
        <v>142000</v>
      </c>
      <c r="N220" s="21">
        <f t="shared" si="15"/>
        <v>0.4</v>
      </c>
    </row>
    <row r="221" spans="1:14" ht="14.25" customHeight="1" x14ac:dyDescent="0.3">
      <c r="A221" s="12" t="s">
        <v>109</v>
      </c>
      <c r="B221" s="12" t="s">
        <v>96</v>
      </c>
      <c r="C221" s="12" t="s">
        <v>76</v>
      </c>
      <c r="D221" s="12" t="s">
        <v>77</v>
      </c>
      <c r="E221" s="13">
        <v>16</v>
      </c>
      <c r="F221" s="14">
        <v>15000</v>
      </c>
      <c r="G221" s="14">
        <v>9000</v>
      </c>
      <c r="H221" s="12" t="s">
        <v>110</v>
      </c>
      <c r="I221" s="12" t="s">
        <v>114</v>
      </c>
      <c r="J221" s="15">
        <f>MATCH(D221,Calculations!$A$5:$A$16,0)</f>
        <v>1</v>
      </c>
      <c r="K221" s="14">
        <f t="shared" si="12"/>
        <v>240000</v>
      </c>
      <c r="L221" s="14">
        <f t="shared" si="13"/>
        <v>144000</v>
      </c>
      <c r="M221" s="14">
        <f t="shared" si="14"/>
        <v>96000</v>
      </c>
      <c r="N221" s="16">
        <f t="shared" si="15"/>
        <v>0.4</v>
      </c>
    </row>
    <row r="222" spans="1:14" ht="14.25" customHeight="1" x14ac:dyDescent="0.3">
      <c r="A222" s="17" t="s">
        <v>109</v>
      </c>
      <c r="B222" s="17" t="s">
        <v>96</v>
      </c>
      <c r="C222" s="17" t="s">
        <v>76</v>
      </c>
      <c r="D222" s="17" t="s">
        <v>80</v>
      </c>
      <c r="E222" s="18">
        <v>15</v>
      </c>
      <c r="F222" s="19">
        <v>15000</v>
      </c>
      <c r="G222" s="19">
        <v>9000</v>
      </c>
      <c r="H222" s="17" t="s">
        <v>112</v>
      </c>
      <c r="I222" s="17" t="s">
        <v>111</v>
      </c>
      <c r="J222" s="20">
        <f>MATCH(D222,Calculations!$A$5:$A$16,0)</f>
        <v>2</v>
      </c>
      <c r="K222" s="19">
        <f t="shared" si="12"/>
        <v>225000</v>
      </c>
      <c r="L222" s="19">
        <f t="shared" si="13"/>
        <v>135000</v>
      </c>
      <c r="M222" s="19">
        <f t="shared" si="14"/>
        <v>90000</v>
      </c>
      <c r="N222" s="21">
        <f t="shared" si="15"/>
        <v>0.4</v>
      </c>
    </row>
    <row r="223" spans="1:14" ht="14.25" customHeight="1" x14ac:dyDescent="0.3">
      <c r="A223" s="12" t="s">
        <v>109</v>
      </c>
      <c r="B223" s="12" t="s">
        <v>96</v>
      </c>
      <c r="C223" s="12" t="s">
        <v>76</v>
      </c>
      <c r="D223" s="12" t="s">
        <v>83</v>
      </c>
      <c r="E223" s="13">
        <v>16</v>
      </c>
      <c r="F223" s="14">
        <v>15000</v>
      </c>
      <c r="G223" s="14">
        <v>9000</v>
      </c>
      <c r="H223" s="12" t="s">
        <v>110</v>
      </c>
      <c r="I223" s="12" t="s">
        <v>113</v>
      </c>
      <c r="J223" s="15">
        <f>MATCH(D223,Calculations!$A$5:$A$16,0)</f>
        <v>3</v>
      </c>
      <c r="K223" s="14">
        <f t="shared" si="12"/>
        <v>240000</v>
      </c>
      <c r="L223" s="14">
        <f t="shared" si="13"/>
        <v>144000</v>
      </c>
      <c r="M223" s="14">
        <f t="shared" si="14"/>
        <v>96000</v>
      </c>
      <c r="N223" s="16">
        <f t="shared" si="15"/>
        <v>0.4</v>
      </c>
    </row>
    <row r="224" spans="1:14" ht="14.25" customHeight="1" x14ac:dyDescent="0.3">
      <c r="A224" s="17" t="s">
        <v>109</v>
      </c>
      <c r="B224" s="17" t="s">
        <v>96</v>
      </c>
      <c r="C224" s="17" t="s">
        <v>76</v>
      </c>
      <c r="D224" s="17" t="s">
        <v>85</v>
      </c>
      <c r="E224" s="18">
        <v>18</v>
      </c>
      <c r="F224" s="19">
        <v>15000</v>
      </c>
      <c r="G224" s="19">
        <v>9000</v>
      </c>
      <c r="H224" s="17" t="s">
        <v>112</v>
      </c>
      <c r="I224" s="17" t="s">
        <v>114</v>
      </c>
      <c r="J224" s="20">
        <f>MATCH(D224,Calculations!$A$5:$A$16,0)</f>
        <v>4</v>
      </c>
      <c r="K224" s="19">
        <f t="shared" si="12"/>
        <v>270000</v>
      </c>
      <c r="L224" s="19">
        <f t="shared" si="13"/>
        <v>162000</v>
      </c>
      <c r="M224" s="19">
        <f t="shared" si="14"/>
        <v>108000</v>
      </c>
      <c r="N224" s="21">
        <f t="shared" si="15"/>
        <v>0.4</v>
      </c>
    </row>
    <row r="225" spans="1:14" ht="14.25" customHeight="1" x14ac:dyDescent="0.3">
      <c r="A225" s="12" t="s">
        <v>109</v>
      </c>
      <c r="B225" s="12" t="s">
        <v>96</v>
      </c>
      <c r="C225" s="12" t="s">
        <v>76</v>
      </c>
      <c r="D225" s="12" t="s">
        <v>86</v>
      </c>
      <c r="E225" s="13">
        <v>17</v>
      </c>
      <c r="F225" s="14">
        <v>15000</v>
      </c>
      <c r="G225" s="14">
        <v>9000</v>
      </c>
      <c r="H225" s="12" t="s">
        <v>110</v>
      </c>
      <c r="I225" s="12" t="s">
        <v>111</v>
      </c>
      <c r="J225" s="15">
        <f>MATCH(D225,Calculations!$A$5:$A$16,0)</f>
        <v>5</v>
      </c>
      <c r="K225" s="14">
        <f t="shared" si="12"/>
        <v>255000</v>
      </c>
      <c r="L225" s="14">
        <f t="shared" si="13"/>
        <v>153000</v>
      </c>
      <c r="M225" s="14">
        <f t="shared" si="14"/>
        <v>102000</v>
      </c>
      <c r="N225" s="16">
        <f t="shared" si="15"/>
        <v>0.4</v>
      </c>
    </row>
    <row r="226" spans="1:14" ht="14.25" customHeight="1" x14ac:dyDescent="0.3">
      <c r="A226" s="17" t="s">
        <v>109</v>
      </c>
      <c r="B226" s="17" t="s">
        <v>96</v>
      </c>
      <c r="C226" s="17" t="s">
        <v>76</v>
      </c>
      <c r="D226" s="17" t="s">
        <v>87</v>
      </c>
      <c r="E226" s="18">
        <v>18</v>
      </c>
      <c r="F226" s="19">
        <v>15000</v>
      </c>
      <c r="G226" s="19">
        <v>9000</v>
      </c>
      <c r="H226" s="17" t="s">
        <v>112</v>
      </c>
      <c r="I226" s="17" t="s">
        <v>113</v>
      </c>
      <c r="J226" s="20">
        <f>MATCH(D226,Calculations!$A$5:$A$16,0)</f>
        <v>6</v>
      </c>
      <c r="K226" s="19">
        <f t="shared" si="12"/>
        <v>270000</v>
      </c>
      <c r="L226" s="19">
        <f t="shared" si="13"/>
        <v>162000</v>
      </c>
      <c r="M226" s="19">
        <f t="shared" si="14"/>
        <v>108000</v>
      </c>
      <c r="N226" s="21">
        <f t="shared" si="15"/>
        <v>0.4</v>
      </c>
    </row>
    <row r="227" spans="1:14" ht="14.25" customHeight="1" x14ac:dyDescent="0.3">
      <c r="A227" s="12" t="s">
        <v>109</v>
      </c>
      <c r="B227" s="12" t="s">
        <v>96</v>
      </c>
      <c r="C227" s="12" t="s">
        <v>76</v>
      </c>
      <c r="D227" s="12" t="s">
        <v>88</v>
      </c>
      <c r="E227" s="13">
        <v>18</v>
      </c>
      <c r="F227" s="14">
        <v>15000</v>
      </c>
      <c r="G227" s="14">
        <v>9000</v>
      </c>
      <c r="H227" s="12" t="s">
        <v>110</v>
      </c>
      <c r="I227" s="12" t="s">
        <v>114</v>
      </c>
      <c r="J227" s="15">
        <f>MATCH(D227,Calculations!$A$5:$A$16,0)</f>
        <v>7</v>
      </c>
      <c r="K227" s="14">
        <f t="shared" si="12"/>
        <v>270000</v>
      </c>
      <c r="L227" s="14">
        <f t="shared" si="13"/>
        <v>162000</v>
      </c>
      <c r="M227" s="14">
        <f t="shared" si="14"/>
        <v>108000</v>
      </c>
      <c r="N227" s="16">
        <f t="shared" si="15"/>
        <v>0.4</v>
      </c>
    </row>
    <row r="228" spans="1:14" ht="14.25" customHeight="1" x14ac:dyDescent="0.3">
      <c r="A228" s="17" t="s">
        <v>109</v>
      </c>
      <c r="B228" s="17" t="s">
        <v>96</v>
      </c>
      <c r="C228" s="17" t="s">
        <v>76</v>
      </c>
      <c r="D228" s="17" t="s">
        <v>89</v>
      </c>
      <c r="E228" s="18">
        <v>19</v>
      </c>
      <c r="F228" s="19">
        <v>15000</v>
      </c>
      <c r="G228" s="19">
        <v>9000</v>
      </c>
      <c r="H228" s="17" t="s">
        <v>112</v>
      </c>
      <c r="I228" s="17" t="s">
        <v>111</v>
      </c>
      <c r="J228" s="20">
        <f>MATCH(D228,Calculations!$A$5:$A$16,0)</f>
        <v>8</v>
      </c>
      <c r="K228" s="19">
        <f t="shared" si="12"/>
        <v>285000</v>
      </c>
      <c r="L228" s="19">
        <f t="shared" si="13"/>
        <v>171000</v>
      </c>
      <c r="M228" s="19">
        <f t="shared" si="14"/>
        <v>114000</v>
      </c>
      <c r="N228" s="21">
        <f t="shared" si="15"/>
        <v>0.4</v>
      </c>
    </row>
    <row r="229" spans="1:14" ht="14.25" customHeight="1" x14ac:dyDescent="0.3">
      <c r="A229" s="12" t="s">
        <v>109</v>
      </c>
      <c r="B229" s="12" t="s">
        <v>96</v>
      </c>
      <c r="C229" s="12" t="s">
        <v>76</v>
      </c>
      <c r="D229" s="12" t="s">
        <v>90</v>
      </c>
      <c r="E229" s="13">
        <v>20</v>
      </c>
      <c r="F229" s="14">
        <v>15000</v>
      </c>
      <c r="G229" s="14">
        <v>9000</v>
      </c>
      <c r="H229" s="12" t="s">
        <v>110</v>
      </c>
      <c r="I229" s="12" t="s">
        <v>113</v>
      </c>
      <c r="J229" s="15">
        <f>MATCH(D229,Calculations!$A$5:$A$16,0)</f>
        <v>9</v>
      </c>
      <c r="K229" s="14">
        <f t="shared" si="12"/>
        <v>300000</v>
      </c>
      <c r="L229" s="14">
        <f t="shared" si="13"/>
        <v>180000</v>
      </c>
      <c r="M229" s="14">
        <f t="shared" si="14"/>
        <v>120000</v>
      </c>
      <c r="N229" s="16">
        <f t="shared" si="15"/>
        <v>0.4</v>
      </c>
    </row>
    <row r="230" spans="1:14" ht="14.25" customHeight="1" x14ac:dyDescent="0.3">
      <c r="A230" s="17" t="s">
        <v>109</v>
      </c>
      <c r="B230" s="17" t="s">
        <v>96</v>
      </c>
      <c r="C230" s="17" t="s">
        <v>76</v>
      </c>
      <c r="D230" s="17" t="s">
        <v>91</v>
      </c>
      <c r="E230" s="18">
        <v>20</v>
      </c>
      <c r="F230" s="19">
        <v>15000</v>
      </c>
      <c r="G230" s="19">
        <v>9000</v>
      </c>
      <c r="H230" s="17" t="s">
        <v>112</v>
      </c>
      <c r="I230" s="17" t="s">
        <v>114</v>
      </c>
      <c r="J230" s="20">
        <f>MATCH(D230,Calculations!$A$5:$A$16,0)</f>
        <v>10</v>
      </c>
      <c r="K230" s="19">
        <f t="shared" si="12"/>
        <v>300000</v>
      </c>
      <c r="L230" s="19">
        <f t="shared" si="13"/>
        <v>180000</v>
      </c>
      <c r="M230" s="19">
        <f t="shared" si="14"/>
        <v>120000</v>
      </c>
      <c r="N230" s="21">
        <f t="shared" si="15"/>
        <v>0.4</v>
      </c>
    </row>
    <row r="231" spans="1:14" ht="14.25" customHeight="1" x14ac:dyDescent="0.3">
      <c r="A231" s="12" t="s">
        <v>109</v>
      </c>
      <c r="B231" s="12" t="s">
        <v>96</v>
      </c>
      <c r="C231" s="12" t="s">
        <v>76</v>
      </c>
      <c r="D231" s="12" t="s">
        <v>92</v>
      </c>
      <c r="E231" s="13">
        <v>21</v>
      </c>
      <c r="F231" s="14">
        <v>15000</v>
      </c>
      <c r="G231" s="14">
        <v>9000</v>
      </c>
      <c r="H231" s="12" t="s">
        <v>110</v>
      </c>
      <c r="I231" s="12" t="s">
        <v>111</v>
      </c>
      <c r="J231" s="15">
        <f>MATCH(D231,Calculations!$A$5:$A$16,0)</f>
        <v>11</v>
      </c>
      <c r="K231" s="14">
        <f t="shared" si="12"/>
        <v>315000</v>
      </c>
      <c r="L231" s="14">
        <f t="shared" si="13"/>
        <v>189000</v>
      </c>
      <c r="M231" s="14">
        <f t="shared" si="14"/>
        <v>126000</v>
      </c>
      <c r="N231" s="16">
        <f t="shared" si="15"/>
        <v>0.4</v>
      </c>
    </row>
    <row r="232" spans="1:14" ht="14.25" customHeight="1" x14ac:dyDescent="0.3">
      <c r="A232" s="17" t="s">
        <v>109</v>
      </c>
      <c r="B232" s="17" t="s">
        <v>96</v>
      </c>
      <c r="C232" s="17" t="s">
        <v>76</v>
      </c>
      <c r="D232" s="17" t="s">
        <v>93</v>
      </c>
      <c r="E232" s="18">
        <v>20</v>
      </c>
      <c r="F232" s="19">
        <v>15000</v>
      </c>
      <c r="G232" s="19">
        <v>9000</v>
      </c>
      <c r="H232" s="17" t="s">
        <v>112</v>
      </c>
      <c r="I232" s="17" t="s">
        <v>113</v>
      </c>
      <c r="J232" s="20">
        <f>MATCH(D232,Calculations!$A$5:$A$16,0)</f>
        <v>12</v>
      </c>
      <c r="K232" s="19">
        <f t="shared" si="12"/>
        <v>300000</v>
      </c>
      <c r="L232" s="19">
        <f t="shared" si="13"/>
        <v>180000</v>
      </c>
      <c r="M232" s="19">
        <f t="shared" si="14"/>
        <v>120000</v>
      </c>
      <c r="N232" s="21">
        <f t="shared" si="15"/>
        <v>0.4</v>
      </c>
    </row>
    <row r="233" spans="1:14" ht="14.25" customHeight="1" x14ac:dyDescent="0.3">
      <c r="A233" s="12" t="s">
        <v>109</v>
      </c>
      <c r="B233" s="12" t="s">
        <v>97</v>
      </c>
      <c r="C233" s="12" t="s">
        <v>95</v>
      </c>
      <c r="D233" s="12" t="s">
        <v>77</v>
      </c>
      <c r="E233" s="13">
        <v>17</v>
      </c>
      <c r="F233" s="14">
        <v>12000</v>
      </c>
      <c r="G233" s="14">
        <v>7000</v>
      </c>
      <c r="H233" s="12" t="s">
        <v>112</v>
      </c>
      <c r="I233" s="12" t="s">
        <v>111</v>
      </c>
      <c r="J233" s="15">
        <f>MATCH(D233,Calculations!$A$5:$A$16,0)</f>
        <v>1</v>
      </c>
      <c r="K233" s="14">
        <f t="shared" si="12"/>
        <v>204000</v>
      </c>
      <c r="L233" s="14">
        <f t="shared" si="13"/>
        <v>119000</v>
      </c>
      <c r="M233" s="14">
        <f t="shared" si="14"/>
        <v>85000</v>
      </c>
      <c r="N233" s="16">
        <f t="shared" si="15"/>
        <v>0.41666666666666669</v>
      </c>
    </row>
    <row r="234" spans="1:14" ht="14.25" customHeight="1" x14ac:dyDescent="0.3">
      <c r="A234" s="17" t="s">
        <v>109</v>
      </c>
      <c r="B234" s="17" t="s">
        <v>97</v>
      </c>
      <c r="C234" s="17" t="s">
        <v>95</v>
      </c>
      <c r="D234" s="17" t="s">
        <v>80</v>
      </c>
      <c r="E234" s="18">
        <v>18</v>
      </c>
      <c r="F234" s="19">
        <v>12000</v>
      </c>
      <c r="G234" s="19">
        <v>7000</v>
      </c>
      <c r="H234" s="17" t="s">
        <v>110</v>
      </c>
      <c r="I234" s="17" t="s">
        <v>113</v>
      </c>
      <c r="J234" s="20">
        <f>MATCH(D234,Calculations!$A$5:$A$16,0)</f>
        <v>2</v>
      </c>
      <c r="K234" s="19">
        <f t="shared" si="12"/>
        <v>216000</v>
      </c>
      <c r="L234" s="19">
        <f t="shared" si="13"/>
        <v>126000</v>
      </c>
      <c r="M234" s="19">
        <f t="shared" si="14"/>
        <v>90000</v>
      </c>
      <c r="N234" s="21">
        <f t="shared" si="15"/>
        <v>0.41666666666666669</v>
      </c>
    </row>
    <row r="235" spans="1:14" ht="14.25" customHeight="1" x14ac:dyDescent="0.3">
      <c r="A235" s="12" t="s">
        <v>109</v>
      </c>
      <c r="B235" s="12" t="s">
        <v>97</v>
      </c>
      <c r="C235" s="12" t="s">
        <v>95</v>
      </c>
      <c r="D235" s="12" t="s">
        <v>83</v>
      </c>
      <c r="E235" s="13">
        <v>17</v>
      </c>
      <c r="F235" s="14">
        <v>12000</v>
      </c>
      <c r="G235" s="14">
        <v>7000</v>
      </c>
      <c r="H235" s="12" t="s">
        <v>112</v>
      </c>
      <c r="I235" s="12" t="s">
        <v>114</v>
      </c>
      <c r="J235" s="15">
        <f>MATCH(D235,Calculations!$A$5:$A$16,0)</f>
        <v>3</v>
      </c>
      <c r="K235" s="14">
        <f t="shared" si="12"/>
        <v>204000</v>
      </c>
      <c r="L235" s="14">
        <f t="shared" si="13"/>
        <v>119000</v>
      </c>
      <c r="M235" s="14">
        <f t="shared" si="14"/>
        <v>85000</v>
      </c>
      <c r="N235" s="16">
        <f t="shared" si="15"/>
        <v>0.41666666666666669</v>
      </c>
    </row>
    <row r="236" spans="1:14" ht="14.25" customHeight="1" x14ac:dyDescent="0.3">
      <c r="A236" s="17" t="s">
        <v>109</v>
      </c>
      <c r="B236" s="17" t="s">
        <v>97</v>
      </c>
      <c r="C236" s="17" t="s">
        <v>95</v>
      </c>
      <c r="D236" s="17" t="s">
        <v>85</v>
      </c>
      <c r="E236" s="18">
        <v>19</v>
      </c>
      <c r="F236" s="19">
        <v>12000</v>
      </c>
      <c r="G236" s="19">
        <v>7000</v>
      </c>
      <c r="H236" s="17" t="s">
        <v>110</v>
      </c>
      <c r="I236" s="17" t="s">
        <v>111</v>
      </c>
      <c r="J236" s="20">
        <f>MATCH(D236,Calculations!$A$5:$A$16,0)</f>
        <v>4</v>
      </c>
      <c r="K236" s="19">
        <f t="shared" si="12"/>
        <v>228000</v>
      </c>
      <c r="L236" s="19">
        <f t="shared" si="13"/>
        <v>133000</v>
      </c>
      <c r="M236" s="19">
        <f t="shared" si="14"/>
        <v>95000</v>
      </c>
      <c r="N236" s="21">
        <f t="shared" si="15"/>
        <v>0.41666666666666669</v>
      </c>
    </row>
    <row r="237" spans="1:14" ht="14.25" customHeight="1" x14ac:dyDescent="0.3">
      <c r="A237" s="12" t="s">
        <v>109</v>
      </c>
      <c r="B237" s="12" t="s">
        <v>97</v>
      </c>
      <c r="C237" s="12" t="s">
        <v>95</v>
      </c>
      <c r="D237" s="12" t="s">
        <v>86</v>
      </c>
      <c r="E237" s="13">
        <v>20</v>
      </c>
      <c r="F237" s="14">
        <v>12000</v>
      </c>
      <c r="G237" s="14">
        <v>7000</v>
      </c>
      <c r="H237" s="12" t="s">
        <v>112</v>
      </c>
      <c r="I237" s="12" t="s">
        <v>113</v>
      </c>
      <c r="J237" s="15">
        <f>MATCH(D237,Calculations!$A$5:$A$16,0)</f>
        <v>5</v>
      </c>
      <c r="K237" s="14">
        <f t="shared" si="12"/>
        <v>240000</v>
      </c>
      <c r="L237" s="14">
        <f t="shared" si="13"/>
        <v>140000</v>
      </c>
      <c r="M237" s="14">
        <f t="shared" si="14"/>
        <v>100000</v>
      </c>
      <c r="N237" s="16">
        <f t="shared" si="15"/>
        <v>0.41666666666666669</v>
      </c>
    </row>
    <row r="238" spans="1:14" ht="14.25" customHeight="1" x14ac:dyDescent="0.3">
      <c r="A238" s="17" t="s">
        <v>109</v>
      </c>
      <c r="B238" s="17" t="s">
        <v>97</v>
      </c>
      <c r="C238" s="17" t="s">
        <v>95</v>
      </c>
      <c r="D238" s="17" t="s">
        <v>87</v>
      </c>
      <c r="E238" s="18">
        <v>20</v>
      </c>
      <c r="F238" s="19">
        <v>12000</v>
      </c>
      <c r="G238" s="19">
        <v>7000</v>
      </c>
      <c r="H238" s="17" t="s">
        <v>110</v>
      </c>
      <c r="I238" s="17" t="s">
        <v>114</v>
      </c>
      <c r="J238" s="20">
        <f>MATCH(D238,Calculations!$A$5:$A$16,0)</f>
        <v>6</v>
      </c>
      <c r="K238" s="19">
        <f t="shared" si="12"/>
        <v>240000</v>
      </c>
      <c r="L238" s="19">
        <f t="shared" si="13"/>
        <v>140000</v>
      </c>
      <c r="M238" s="19">
        <f t="shared" si="14"/>
        <v>100000</v>
      </c>
      <c r="N238" s="21">
        <f t="shared" si="15"/>
        <v>0.41666666666666669</v>
      </c>
    </row>
    <row r="239" spans="1:14" ht="14.25" customHeight="1" x14ac:dyDescent="0.3">
      <c r="A239" s="12" t="s">
        <v>109</v>
      </c>
      <c r="B239" s="12" t="s">
        <v>97</v>
      </c>
      <c r="C239" s="12" t="s">
        <v>95</v>
      </c>
      <c r="D239" s="12" t="s">
        <v>88</v>
      </c>
      <c r="E239" s="13">
        <v>21</v>
      </c>
      <c r="F239" s="14">
        <v>12000</v>
      </c>
      <c r="G239" s="14">
        <v>7000</v>
      </c>
      <c r="H239" s="12" t="s">
        <v>112</v>
      </c>
      <c r="I239" s="12" t="s">
        <v>111</v>
      </c>
      <c r="J239" s="15">
        <f>MATCH(D239,Calculations!$A$5:$A$16,0)</f>
        <v>7</v>
      </c>
      <c r="K239" s="14">
        <f t="shared" si="12"/>
        <v>252000</v>
      </c>
      <c r="L239" s="14">
        <f t="shared" si="13"/>
        <v>147000</v>
      </c>
      <c r="M239" s="14">
        <f t="shared" si="14"/>
        <v>105000</v>
      </c>
      <c r="N239" s="16">
        <f t="shared" si="15"/>
        <v>0.41666666666666669</v>
      </c>
    </row>
    <row r="240" spans="1:14" ht="14.25" customHeight="1" x14ac:dyDescent="0.3">
      <c r="A240" s="17" t="s">
        <v>109</v>
      </c>
      <c r="B240" s="17" t="s">
        <v>97</v>
      </c>
      <c r="C240" s="17" t="s">
        <v>95</v>
      </c>
      <c r="D240" s="17" t="s">
        <v>89</v>
      </c>
      <c r="E240" s="18">
        <v>20</v>
      </c>
      <c r="F240" s="19">
        <v>12000</v>
      </c>
      <c r="G240" s="19">
        <v>7000</v>
      </c>
      <c r="H240" s="17" t="s">
        <v>110</v>
      </c>
      <c r="I240" s="17" t="s">
        <v>113</v>
      </c>
      <c r="J240" s="20">
        <f>MATCH(D240,Calculations!$A$5:$A$16,0)</f>
        <v>8</v>
      </c>
      <c r="K240" s="19">
        <f t="shared" si="12"/>
        <v>240000</v>
      </c>
      <c r="L240" s="19">
        <f t="shared" si="13"/>
        <v>140000</v>
      </c>
      <c r="M240" s="19">
        <f t="shared" si="14"/>
        <v>100000</v>
      </c>
      <c r="N240" s="21">
        <f t="shared" si="15"/>
        <v>0.41666666666666669</v>
      </c>
    </row>
    <row r="241" spans="1:14" ht="14.25" customHeight="1" x14ac:dyDescent="0.3">
      <c r="A241" s="12" t="s">
        <v>109</v>
      </c>
      <c r="B241" s="12" t="s">
        <v>97</v>
      </c>
      <c r="C241" s="12" t="s">
        <v>95</v>
      </c>
      <c r="D241" s="12" t="s">
        <v>90</v>
      </c>
      <c r="E241" s="13">
        <v>22</v>
      </c>
      <c r="F241" s="14">
        <v>12000</v>
      </c>
      <c r="G241" s="14">
        <v>7000</v>
      </c>
      <c r="H241" s="12" t="s">
        <v>112</v>
      </c>
      <c r="I241" s="12" t="s">
        <v>114</v>
      </c>
      <c r="J241" s="15">
        <f>MATCH(D241,Calculations!$A$5:$A$16,0)</f>
        <v>9</v>
      </c>
      <c r="K241" s="14">
        <f t="shared" si="12"/>
        <v>264000</v>
      </c>
      <c r="L241" s="14">
        <f t="shared" si="13"/>
        <v>154000</v>
      </c>
      <c r="M241" s="14">
        <f t="shared" si="14"/>
        <v>110000</v>
      </c>
      <c r="N241" s="16">
        <f t="shared" si="15"/>
        <v>0.41666666666666669</v>
      </c>
    </row>
    <row r="242" spans="1:14" ht="14.25" customHeight="1" x14ac:dyDescent="0.3">
      <c r="A242" s="17" t="s">
        <v>109</v>
      </c>
      <c r="B242" s="17" t="s">
        <v>97</v>
      </c>
      <c r="C242" s="17" t="s">
        <v>95</v>
      </c>
      <c r="D242" s="17" t="s">
        <v>91</v>
      </c>
      <c r="E242" s="18">
        <v>23</v>
      </c>
      <c r="F242" s="19">
        <v>12000</v>
      </c>
      <c r="G242" s="19">
        <v>7000</v>
      </c>
      <c r="H242" s="17" t="s">
        <v>110</v>
      </c>
      <c r="I242" s="17" t="s">
        <v>111</v>
      </c>
      <c r="J242" s="20">
        <f>MATCH(D242,Calculations!$A$5:$A$16,0)</f>
        <v>10</v>
      </c>
      <c r="K242" s="19">
        <f t="shared" si="12"/>
        <v>276000</v>
      </c>
      <c r="L242" s="19">
        <f t="shared" si="13"/>
        <v>161000</v>
      </c>
      <c r="M242" s="19">
        <f t="shared" si="14"/>
        <v>115000</v>
      </c>
      <c r="N242" s="21">
        <f t="shared" si="15"/>
        <v>0.41666666666666669</v>
      </c>
    </row>
    <row r="243" spans="1:14" ht="14.25" customHeight="1" x14ac:dyDescent="0.3">
      <c r="A243" s="12" t="s">
        <v>109</v>
      </c>
      <c r="B243" s="12" t="s">
        <v>97</v>
      </c>
      <c r="C243" s="12" t="s">
        <v>95</v>
      </c>
      <c r="D243" s="12" t="s">
        <v>92</v>
      </c>
      <c r="E243" s="13">
        <v>22</v>
      </c>
      <c r="F243" s="14">
        <v>12000</v>
      </c>
      <c r="G243" s="14">
        <v>7000</v>
      </c>
      <c r="H243" s="12" t="s">
        <v>112</v>
      </c>
      <c r="I243" s="12" t="s">
        <v>113</v>
      </c>
      <c r="J243" s="15">
        <f>MATCH(D243,Calculations!$A$5:$A$16,0)</f>
        <v>11</v>
      </c>
      <c r="K243" s="14">
        <f t="shared" si="12"/>
        <v>264000</v>
      </c>
      <c r="L243" s="14">
        <f t="shared" si="13"/>
        <v>154000</v>
      </c>
      <c r="M243" s="14">
        <f t="shared" si="14"/>
        <v>110000</v>
      </c>
      <c r="N243" s="16">
        <f t="shared" si="15"/>
        <v>0.41666666666666669</v>
      </c>
    </row>
    <row r="244" spans="1:14" ht="14.25" customHeight="1" x14ac:dyDescent="0.3">
      <c r="A244" s="17" t="s">
        <v>109</v>
      </c>
      <c r="B244" s="17" t="s">
        <v>97</v>
      </c>
      <c r="C244" s="17" t="s">
        <v>95</v>
      </c>
      <c r="D244" s="17" t="s">
        <v>93</v>
      </c>
      <c r="E244" s="18">
        <v>24</v>
      </c>
      <c r="F244" s="19">
        <v>12000</v>
      </c>
      <c r="G244" s="19">
        <v>7000</v>
      </c>
      <c r="H244" s="17" t="s">
        <v>110</v>
      </c>
      <c r="I244" s="17" t="s">
        <v>114</v>
      </c>
      <c r="J244" s="20">
        <f>MATCH(D244,Calculations!$A$5:$A$16,0)</f>
        <v>12</v>
      </c>
      <c r="K244" s="19">
        <f t="shared" si="12"/>
        <v>288000</v>
      </c>
      <c r="L244" s="19">
        <f t="shared" si="13"/>
        <v>168000</v>
      </c>
      <c r="M244" s="19">
        <f t="shared" si="14"/>
        <v>120000</v>
      </c>
      <c r="N244" s="21">
        <f t="shared" si="15"/>
        <v>0.41666666666666669</v>
      </c>
    </row>
    <row r="245" spans="1:14" ht="14.25" customHeight="1" x14ac:dyDescent="0.3">
      <c r="A245" s="12" t="s">
        <v>109</v>
      </c>
      <c r="B245" s="12" t="s">
        <v>98</v>
      </c>
      <c r="C245" s="12" t="s">
        <v>99</v>
      </c>
      <c r="D245" s="12" t="s">
        <v>77</v>
      </c>
      <c r="E245" s="13">
        <v>21</v>
      </c>
      <c r="F245" s="14">
        <v>9000</v>
      </c>
      <c r="G245" s="14">
        <v>5000</v>
      </c>
      <c r="H245" s="12" t="s">
        <v>110</v>
      </c>
      <c r="I245" s="12" t="s">
        <v>113</v>
      </c>
      <c r="J245" s="15">
        <f>MATCH(D245,Calculations!$A$5:$A$16,0)</f>
        <v>1</v>
      </c>
      <c r="K245" s="14">
        <f t="shared" si="12"/>
        <v>189000</v>
      </c>
      <c r="L245" s="14">
        <f t="shared" si="13"/>
        <v>105000</v>
      </c>
      <c r="M245" s="14">
        <f t="shared" si="14"/>
        <v>84000</v>
      </c>
      <c r="N245" s="16">
        <f t="shared" si="15"/>
        <v>0.44444444444444442</v>
      </c>
    </row>
    <row r="246" spans="1:14" ht="14.25" customHeight="1" x14ac:dyDescent="0.3">
      <c r="A246" s="17" t="s">
        <v>109</v>
      </c>
      <c r="B246" s="17" t="s">
        <v>98</v>
      </c>
      <c r="C246" s="17" t="s">
        <v>99</v>
      </c>
      <c r="D246" s="17" t="s">
        <v>80</v>
      </c>
      <c r="E246" s="18">
        <v>21</v>
      </c>
      <c r="F246" s="19">
        <v>9000</v>
      </c>
      <c r="G246" s="19">
        <v>5000</v>
      </c>
      <c r="H246" s="17" t="s">
        <v>112</v>
      </c>
      <c r="I246" s="17" t="s">
        <v>114</v>
      </c>
      <c r="J246" s="20">
        <f>MATCH(D246,Calculations!$A$5:$A$16,0)</f>
        <v>2</v>
      </c>
      <c r="K246" s="19">
        <f t="shared" si="12"/>
        <v>189000</v>
      </c>
      <c r="L246" s="19">
        <f t="shared" si="13"/>
        <v>105000</v>
      </c>
      <c r="M246" s="19">
        <f t="shared" si="14"/>
        <v>84000</v>
      </c>
      <c r="N246" s="21">
        <f t="shared" si="15"/>
        <v>0.44444444444444442</v>
      </c>
    </row>
    <row r="247" spans="1:14" ht="14.25" customHeight="1" x14ac:dyDescent="0.3">
      <c r="A247" s="12" t="s">
        <v>109</v>
      </c>
      <c r="B247" s="12" t="s">
        <v>98</v>
      </c>
      <c r="C247" s="12" t="s">
        <v>99</v>
      </c>
      <c r="D247" s="12" t="s">
        <v>83</v>
      </c>
      <c r="E247" s="13">
        <v>22</v>
      </c>
      <c r="F247" s="14">
        <v>9000</v>
      </c>
      <c r="G247" s="14">
        <v>5000</v>
      </c>
      <c r="H247" s="12" t="s">
        <v>110</v>
      </c>
      <c r="I247" s="12" t="s">
        <v>111</v>
      </c>
      <c r="J247" s="15">
        <f>MATCH(D247,Calculations!$A$5:$A$16,0)</f>
        <v>3</v>
      </c>
      <c r="K247" s="14">
        <f t="shared" si="12"/>
        <v>198000</v>
      </c>
      <c r="L247" s="14">
        <f t="shared" si="13"/>
        <v>110000</v>
      </c>
      <c r="M247" s="14">
        <f t="shared" si="14"/>
        <v>88000</v>
      </c>
      <c r="N247" s="16">
        <f t="shared" si="15"/>
        <v>0.44444444444444442</v>
      </c>
    </row>
    <row r="248" spans="1:14" ht="14.25" customHeight="1" x14ac:dyDescent="0.3">
      <c r="A248" s="17" t="s">
        <v>109</v>
      </c>
      <c r="B248" s="17" t="s">
        <v>98</v>
      </c>
      <c r="C248" s="17" t="s">
        <v>99</v>
      </c>
      <c r="D248" s="17" t="s">
        <v>85</v>
      </c>
      <c r="E248" s="18">
        <v>22</v>
      </c>
      <c r="F248" s="19">
        <v>9000</v>
      </c>
      <c r="G248" s="19">
        <v>5000</v>
      </c>
      <c r="H248" s="17" t="s">
        <v>112</v>
      </c>
      <c r="I248" s="17" t="s">
        <v>113</v>
      </c>
      <c r="J248" s="20">
        <f>MATCH(D248,Calculations!$A$5:$A$16,0)</f>
        <v>4</v>
      </c>
      <c r="K248" s="19">
        <f t="shared" si="12"/>
        <v>198000</v>
      </c>
      <c r="L248" s="19">
        <f t="shared" si="13"/>
        <v>110000</v>
      </c>
      <c r="M248" s="19">
        <f t="shared" si="14"/>
        <v>88000</v>
      </c>
      <c r="N248" s="21">
        <f t="shared" si="15"/>
        <v>0.44444444444444442</v>
      </c>
    </row>
    <row r="249" spans="1:14" ht="14.25" customHeight="1" x14ac:dyDescent="0.3">
      <c r="A249" s="12" t="s">
        <v>109</v>
      </c>
      <c r="B249" s="12" t="s">
        <v>98</v>
      </c>
      <c r="C249" s="12" t="s">
        <v>99</v>
      </c>
      <c r="D249" s="12" t="s">
        <v>86</v>
      </c>
      <c r="E249" s="13">
        <v>23</v>
      </c>
      <c r="F249" s="14">
        <v>9000</v>
      </c>
      <c r="G249" s="14">
        <v>5000</v>
      </c>
      <c r="H249" s="12" t="s">
        <v>110</v>
      </c>
      <c r="I249" s="12" t="s">
        <v>114</v>
      </c>
      <c r="J249" s="15">
        <f>MATCH(D249,Calculations!$A$5:$A$16,0)</f>
        <v>5</v>
      </c>
      <c r="K249" s="14">
        <f t="shared" si="12"/>
        <v>207000</v>
      </c>
      <c r="L249" s="14">
        <f t="shared" si="13"/>
        <v>115000</v>
      </c>
      <c r="M249" s="14">
        <f t="shared" si="14"/>
        <v>92000</v>
      </c>
      <c r="N249" s="16">
        <f t="shared" si="15"/>
        <v>0.44444444444444442</v>
      </c>
    </row>
    <row r="250" spans="1:14" ht="14.25" customHeight="1" x14ac:dyDescent="0.3">
      <c r="A250" s="17" t="s">
        <v>109</v>
      </c>
      <c r="B250" s="17" t="s">
        <v>98</v>
      </c>
      <c r="C250" s="17" t="s">
        <v>99</v>
      </c>
      <c r="D250" s="17" t="s">
        <v>87</v>
      </c>
      <c r="E250" s="18">
        <v>25</v>
      </c>
      <c r="F250" s="19">
        <v>9000</v>
      </c>
      <c r="G250" s="19">
        <v>5000</v>
      </c>
      <c r="H250" s="17" t="s">
        <v>112</v>
      </c>
      <c r="I250" s="17" t="s">
        <v>111</v>
      </c>
      <c r="J250" s="20">
        <f>MATCH(D250,Calculations!$A$5:$A$16,0)</f>
        <v>6</v>
      </c>
      <c r="K250" s="19">
        <f t="shared" si="12"/>
        <v>225000</v>
      </c>
      <c r="L250" s="19">
        <f t="shared" si="13"/>
        <v>125000</v>
      </c>
      <c r="M250" s="19">
        <f t="shared" si="14"/>
        <v>100000</v>
      </c>
      <c r="N250" s="21">
        <f t="shared" si="15"/>
        <v>0.44444444444444442</v>
      </c>
    </row>
    <row r="251" spans="1:14" ht="14.25" customHeight="1" x14ac:dyDescent="0.3">
      <c r="A251" s="12" t="s">
        <v>109</v>
      </c>
      <c r="B251" s="12" t="s">
        <v>98</v>
      </c>
      <c r="C251" s="12" t="s">
        <v>99</v>
      </c>
      <c r="D251" s="12" t="s">
        <v>88</v>
      </c>
      <c r="E251" s="13">
        <v>24</v>
      </c>
      <c r="F251" s="14">
        <v>9000</v>
      </c>
      <c r="G251" s="14">
        <v>5000</v>
      </c>
      <c r="H251" s="12" t="s">
        <v>110</v>
      </c>
      <c r="I251" s="12" t="s">
        <v>113</v>
      </c>
      <c r="J251" s="15">
        <f>MATCH(D251,Calculations!$A$5:$A$16,0)</f>
        <v>7</v>
      </c>
      <c r="K251" s="14">
        <f t="shared" si="12"/>
        <v>216000</v>
      </c>
      <c r="L251" s="14">
        <f t="shared" si="13"/>
        <v>120000</v>
      </c>
      <c r="M251" s="14">
        <f t="shared" si="14"/>
        <v>96000</v>
      </c>
      <c r="N251" s="16">
        <f t="shared" si="15"/>
        <v>0.44444444444444442</v>
      </c>
    </row>
    <row r="252" spans="1:14" ht="14.25" customHeight="1" x14ac:dyDescent="0.3">
      <c r="A252" s="17" t="s">
        <v>109</v>
      </c>
      <c r="B252" s="17" t="s">
        <v>98</v>
      </c>
      <c r="C252" s="17" t="s">
        <v>99</v>
      </c>
      <c r="D252" s="17" t="s">
        <v>89</v>
      </c>
      <c r="E252" s="18">
        <v>26</v>
      </c>
      <c r="F252" s="19">
        <v>9000</v>
      </c>
      <c r="G252" s="19">
        <v>5000</v>
      </c>
      <c r="H252" s="17" t="s">
        <v>112</v>
      </c>
      <c r="I252" s="17" t="s">
        <v>114</v>
      </c>
      <c r="J252" s="20">
        <f>MATCH(D252,Calculations!$A$5:$A$16,0)</f>
        <v>8</v>
      </c>
      <c r="K252" s="19">
        <f t="shared" si="12"/>
        <v>234000</v>
      </c>
      <c r="L252" s="19">
        <f t="shared" si="13"/>
        <v>130000</v>
      </c>
      <c r="M252" s="19">
        <f t="shared" si="14"/>
        <v>104000</v>
      </c>
      <c r="N252" s="21">
        <f t="shared" si="15"/>
        <v>0.44444444444444442</v>
      </c>
    </row>
    <row r="253" spans="1:14" ht="14.25" customHeight="1" x14ac:dyDescent="0.3">
      <c r="A253" s="12" t="s">
        <v>109</v>
      </c>
      <c r="B253" s="12" t="s">
        <v>98</v>
      </c>
      <c r="C253" s="12" t="s">
        <v>99</v>
      </c>
      <c r="D253" s="12" t="s">
        <v>90</v>
      </c>
      <c r="E253" s="13">
        <v>25</v>
      </c>
      <c r="F253" s="14">
        <v>9000</v>
      </c>
      <c r="G253" s="14">
        <v>5000</v>
      </c>
      <c r="H253" s="12" t="s">
        <v>110</v>
      </c>
      <c r="I253" s="12" t="s">
        <v>111</v>
      </c>
      <c r="J253" s="15">
        <f>MATCH(D253,Calculations!$A$5:$A$16,0)</f>
        <v>9</v>
      </c>
      <c r="K253" s="14">
        <f t="shared" si="12"/>
        <v>225000</v>
      </c>
      <c r="L253" s="14">
        <f t="shared" si="13"/>
        <v>125000</v>
      </c>
      <c r="M253" s="14">
        <f t="shared" si="14"/>
        <v>100000</v>
      </c>
      <c r="N253" s="16">
        <f t="shared" si="15"/>
        <v>0.44444444444444442</v>
      </c>
    </row>
    <row r="254" spans="1:14" ht="14.25" customHeight="1" x14ac:dyDescent="0.3">
      <c r="A254" s="17" t="s">
        <v>109</v>
      </c>
      <c r="B254" s="17" t="s">
        <v>98</v>
      </c>
      <c r="C254" s="17" t="s">
        <v>99</v>
      </c>
      <c r="D254" s="17" t="s">
        <v>91</v>
      </c>
      <c r="E254" s="18">
        <v>27</v>
      </c>
      <c r="F254" s="19">
        <v>9000</v>
      </c>
      <c r="G254" s="19">
        <v>5000</v>
      </c>
      <c r="H254" s="17" t="s">
        <v>112</v>
      </c>
      <c r="I254" s="17" t="s">
        <v>113</v>
      </c>
      <c r="J254" s="20">
        <f>MATCH(D254,Calculations!$A$5:$A$16,0)</f>
        <v>10</v>
      </c>
      <c r="K254" s="19">
        <f t="shared" si="12"/>
        <v>243000</v>
      </c>
      <c r="L254" s="19">
        <f t="shared" si="13"/>
        <v>135000</v>
      </c>
      <c r="M254" s="19">
        <f t="shared" si="14"/>
        <v>108000</v>
      </c>
      <c r="N254" s="21">
        <f t="shared" si="15"/>
        <v>0.44444444444444442</v>
      </c>
    </row>
    <row r="255" spans="1:14" ht="14.25" customHeight="1" x14ac:dyDescent="0.3">
      <c r="A255" s="12" t="s">
        <v>109</v>
      </c>
      <c r="B255" s="12" t="s">
        <v>98</v>
      </c>
      <c r="C255" s="12" t="s">
        <v>99</v>
      </c>
      <c r="D255" s="12" t="s">
        <v>92</v>
      </c>
      <c r="E255" s="13">
        <v>29</v>
      </c>
      <c r="F255" s="14">
        <v>9000</v>
      </c>
      <c r="G255" s="14">
        <v>5000</v>
      </c>
      <c r="H255" s="12" t="s">
        <v>110</v>
      </c>
      <c r="I255" s="12" t="s">
        <v>114</v>
      </c>
      <c r="J255" s="15">
        <f>MATCH(D255,Calculations!$A$5:$A$16,0)</f>
        <v>11</v>
      </c>
      <c r="K255" s="14">
        <f t="shared" si="12"/>
        <v>261000</v>
      </c>
      <c r="L255" s="14">
        <f t="shared" si="13"/>
        <v>145000</v>
      </c>
      <c r="M255" s="14">
        <f t="shared" si="14"/>
        <v>116000</v>
      </c>
      <c r="N255" s="16">
        <f t="shared" si="15"/>
        <v>0.44444444444444442</v>
      </c>
    </row>
    <row r="256" spans="1:14" ht="14.25" customHeight="1" x14ac:dyDescent="0.3">
      <c r="A256" s="17" t="s">
        <v>109</v>
      </c>
      <c r="B256" s="17" t="s">
        <v>98</v>
      </c>
      <c r="C256" s="17" t="s">
        <v>99</v>
      </c>
      <c r="D256" s="17" t="s">
        <v>93</v>
      </c>
      <c r="E256" s="18">
        <v>28</v>
      </c>
      <c r="F256" s="19">
        <v>9000</v>
      </c>
      <c r="G256" s="19">
        <v>5000</v>
      </c>
      <c r="H256" s="17" t="s">
        <v>112</v>
      </c>
      <c r="I256" s="17" t="s">
        <v>111</v>
      </c>
      <c r="J256" s="20">
        <f>MATCH(D256,Calculations!$A$5:$A$16,0)</f>
        <v>12</v>
      </c>
      <c r="K256" s="19">
        <f t="shared" si="12"/>
        <v>252000</v>
      </c>
      <c r="L256" s="19">
        <f t="shared" si="13"/>
        <v>140000</v>
      </c>
      <c r="M256" s="19">
        <f t="shared" si="14"/>
        <v>112000</v>
      </c>
      <c r="N256" s="21">
        <f t="shared" si="15"/>
        <v>0.44444444444444442</v>
      </c>
    </row>
    <row r="257" spans="1:14" ht="14.25" customHeight="1" x14ac:dyDescent="0.3">
      <c r="A257" s="12" t="s">
        <v>109</v>
      </c>
      <c r="B257" s="12" t="s">
        <v>100</v>
      </c>
      <c r="C257" s="12" t="s">
        <v>99</v>
      </c>
      <c r="D257" s="12" t="s">
        <v>77</v>
      </c>
      <c r="E257" s="13">
        <v>19</v>
      </c>
      <c r="F257" s="14">
        <v>7000</v>
      </c>
      <c r="G257" s="14">
        <v>4000</v>
      </c>
      <c r="H257" s="12" t="s">
        <v>112</v>
      </c>
      <c r="I257" s="12" t="s">
        <v>114</v>
      </c>
      <c r="J257" s="15">
        <f>MATCH(D257,Calculations!$A$5:$A$16,0)</f>
        <v>1</v>
      </c>
      <c r="K257" s="14">
        <f t="shared" si="12"/>
        <v>133000</v>
      </c>
      <c r="L257" s="14">
        <f t="shared" si="13"/>
        <v>76000</v>
      </c>
      <c r="M257" s="14">
        <f t="shared" si="14"/>
        <v>57000</v>
      </c>
      <c r="N257" s="16">
        <f t="shared" si="15"/>
        <v>0.42857142857142855</v>
      </c>
    </row>
    <row r="258" spans="1:14" ht="14.25" customHeight="1" x14ac:dyDescent="0.3">
      <c r="A258" s="17" t="s">
        <v>109</v>
      </c>
      <c r="B258" s="17" t="s">
        <v>100</v>
      </c>
      <c r="C258" s="17" t="s">
        <v>99</v>
      </c>
      <c r="D258" s="17" t="s">
        <v>80</v>
      </c>
      <c r="E258" s="18">
        <v>20</v>
      </c>
      <c r="F258" s="19">
        <v>7000</v>
      </c>
      <c r="G258" s="19">
        <v>4000</v>
      </c>
      <c r="H258" s="17" t="s">
        <v>110</v>
      </c>
      <c r="I258" s="17" t="s">
        <v>111</v>
      </c>
      <c r="J258" s="20">
        <f>MATCH(D258,Calculations!$A$5:$A$16,0)</f>
        <v>2</v>
      </c>
      <c r="K258" s="19">
        <f t="shared" si="12"/>
        <v>140000</v>
      </c>
      <c r="L258" s="19">
        <f t="shared" si="13"/>
        <v>80000</v>
      </c>
      <c r="M258" s="19">
        <f t="shared" si="14"/>
        <v>60000</v>
      </c>
      <c r="N258" s="21">
        <f t="shared" si="15"/>
        <v>0.42857142857142855</v>
      </c>
    </row>
    <row r="259" spans="1:14" ht="14.25" customHeight="1" x14ac:dyDescent="0.3">
      <c r="A259" s="12" t="s">
        <v>109</v>
      </c>
      <c r="B259" s="12" t="s">
        <v>100</v>
      </c>
      <c r="C259" s="12" t="s">
        <v>99</v>
      </c>
      <c r="D259" s="12" t="s">
        <v>83</v>
      </c>
      <c r="E259" s="13">
        <v>20</v>
      </c>
      <c r="F259" s="14">
        <v>7000</v>
      </c>
      <c r="G259" s="14">
        <v>4000</v>
      </c>
      <c r="H259" s="12" t="s">
        <v>112</v>
      </c>
      <c r="I259" s="12" t="s">
        <v>113</v>
      </c>
      <c r="J259" s="15">
        <f>MATCH(D259,Calculations!$A$5:$A$16,0)</f>
        <v>3</v>
      </c>
      <c r="K259" s="14">
        <f t="shared" si="12"/>
        <v>140000</v>
      </c>
      <c r="L259" s="14">
        <f t="shared" si="13"/>
        <v>80000</v>
      </c>
      <c r="M259" s="14">
        <f t="shared" si="14"/>
        <v>60000</v>
      </c>
      <c r="N259" s="16">
        <f t="shared" si="15"/>
        <v>0.42857142857142855</v>
      </c>
    </row>
    <row r="260" spans="1:14" ht="14.25" customHeight="1" x14ac:dyDescent="0.3">
      <c r="A260" s="17" t="s">
        <v>109</v>
      </c>
      <c r="B260" s="17" t="s">
        <v>100</v>
      </c>
      <c r="C260" s="17" t="s">
        <v>99</v>
      </c>
      <c r="D260" s="17" t="s">
        <v>85</v>
      </c>
      <c r="E260" s="18">
        <v>21</v>
      </c>
      <c r="F260" s="19">
        <v>7000</v>
      </c>
      <c r="G260" s="19">
        <v>4000</v>
      </c>
      <c r="H260" s="17" t="s">
        <v>110</v>
      </c>
      <c r="I260" s="17" t="s">
        <v>114</v>
      </c>
      <c r="J260" s="20">
        <f>MATCH(D260,Calculations!$A$5:$A$16,0)</f>
        <v>4</v>
      </c>
      <c r="K260" s="19">
        <f t="shared" si="12"/>
        <v>147000</v>
      </c>
      <c r="L260" s="19">
        <f t="shared" si="13"/>
        <v>84000</v>
      </c>
      <c r="M260" s="19">
        <f t="shared" si="14"/>
        <v>63000</v>
      </c>
      <c r="N260" s="21">
        <f t="shared" si="15"/>
        <v>0.42857142857142855</v>
      </c>
    </row>
    <row r="261" spans="1:14" ht="14.25" customHeight="1" x14ac:dyDescent="0.3">
      <c r="A261" s="12" t="s">
        <v>109</v>
      </c>
      <c r="B261" s="12" t="s">
        <v>100</v>
      </c>
      <c r="C261" s="12" t="s">
        <v>99</v>
      </c>
      <c r="D261" s="12" t="s">
        <v>86</v>
      </c>
      <c r="E261" s="13">
        <v>20</v>
      </c>
      <c r="F261" s="14">
        <v>7000</v>
      </c>
      <c r="G261" s="14">
        <v>4000</v>
      </c>
      <c r="H261" s="12" t="s">
        <v>112</v>
      </c>
      <c r="I261" s="12" t="s">
        <v>111</v>
      </c>
      <c r="J261" s="15">
        <f>MATCH(D261,Calculations!$A$5:$A$16,0)</f>
        <v>5</v>
      </c>
      <c r="K261" s="14">
        <f t="shared" ref="K261:K292" si="16">E261*F261</f>
        <v>140000</v>
      </c>
      <c r="L261" s="14">
        <f t="shared" ref="L261:L292" si="17">E261*G261</f>
        <v>80000</v>
      </c>
      <c r="M261" s="14">
        <f t="shared" ref="M261:M292" si="18">K261-L261</f>
        <v>60000</v>
      </c>
      <c r="N261" s="16">
        <f t="shared" ref="N261:N292" si="19">IFERROR(M261/K261,0)</f>
        <v>0.42857142857142855</v>
      </c>
    </row>
    <row r="262" spans="1:14" ht="14.25" customHeight="1" x14ac:dyDescent="0.3">
      <c r="A262" s="17" t="s">
        <v>109</v>
      </c>
      <c r="B262" s="17" t="s">
        <v>100</v>
      </c>
      <c r="C262" s="17" t="s">
        <v>99</v>
      </c>
      <c r="D262" s="17" t="s">
        <v>87</v>
      </c>
      <c r="E262" s="18">
        <v>22</v>
      </c>
      <c r="F262" s="19">
        <v>7000</v>
      </c>
      <c r="G262" s="19">
        <v>4000</v>
      </c>
      <c r="H262" s="17" t="s">
        <v>110</v>
      </c>
      <c r="I262" s="17" t="s">
        <v>113</v>
      </c>
      <c r="J262" s="20">
        <f>MATCH(D262,Calculations!$A$5:$A$16,0)</f>
        <v>6</v>
      </c>
      <c r="K262" s="19">
        <f t="shared" si="16"/>
        <v>154000</v>
      </c>
      <c r="L262" s="19">
        <f t="shared" si="17"/>
        <v>88000</v>
      </c>
      <c r="M262" s="19">
        <f t="shared" si="18"/>
        <v>66000</v>
      </c>
      <c r="N262" s="21">
        <f t="shared" si="19"/>
        <v>0.42857142857142855</v>
      </c>
    </row>
    <row r="263" spans="1:14" ht="14.25" customHeight="1" x14ac:dyDescent="0.3">
      <c r="A263" s="12" t="s">
        <v>109</v>
      </c>
      <c r="B263" s="12" t="s">
        <v>100</v>
      </c>
      <c r="C263" s="12" t="s">
        <v>99</v>
      </c>
      <c r="D263" s="12" t="s">
        <v>88</v>
      </c>
      <c r="E263" s="13">
        <v>24</v>
      </c>
      <c r="F263" s="14">
        <v>7000</v>
      </c>
      <c r="G263" s="14">
        <v>4000</v>
      </c>
      <c r="H263" s="12" t="s">
        <v>112</v>
      </c>
      <c r="I263" s="12" t="s">
        <v>114</v>
      </c>
      <c r="J263" s="15">
        <f>MATCH(D263,Calculations!$A$5:$A$16,0)</f>
        <v>7</v>
      </c>
      <c r="K263" s="14">
        <f t="shared" si="16"/>
        <v>168000</v>
      </c>
      <c r="L263" s="14">
        <f t="shared" si="17"/>
        <v>96000</v>
      </c>
      <c r="M263" s="14">
        <f t="shared" si="18"/>
        <v>72000</v>
      </c>
      <c r="N263" s="16">
        <f t="shared" si="19"/>
        <v>0.42857142857142855</v>
      </c>
    </row>
    <row r="264" spans="1:14" ht="14.25" customHeight="1" x14ac:dyDescent="0.3">
      <c r="A264" s="17" t="s">
        <v>109</v>
      </c>
      <c r="B264" s="17" t="s">
        <v>100</v>
      </c>
      <c r="C264" s="17" t="s">
        <v>99</v>
      </c>
      <c r="D264" s="17" t="s">
        <v>89</v>
      </c>
      <c r="E264" s="18">
        <v>23</v>
      </c>
      <c r="F264" s="19">
        <v>7000</v>
      </c>
      <c r="G264" s="19">
        <v>4000</v>
      </c>
      <c r="H264" s="17" t="s">
        <v>110</v>
      </c>
      <c r="I264" s="17" t="s">
        <v>111</v>
      </c>
      <c r="J264" s="20">
        <f>MATCH(D264,Calculations!$A$5:$A$16,0)</f>
        <v>8</v>
      </c>
      <c r="K264" s="19">
        <f t="shared" si="16"/>
        <v>161000</v>
      </c>
      <c r="L264" s="19">
        <f t="shared" si="17"/>
        <v>92000</v>
      </c>
      <c r="M264" s="19">
        <f t="shared" si="18"/>
        <v>69000</v>
      </c>
      <c r="N264" s="21">
        <f t="shared" si="19"/>
        <v>0.42857142857142855</v>
      </c>
    </row>
    <row r="265" spans="1:14" ht="14.25" customHeight="1" x14ac:dyDescent="0.3">
      <c r="A265" s="12" t="s">
        <v>109</v>
      </c>
      <c r="B265" s="12" t="s">
        <v>100</v>
      </c>
      <c r="C265" s="12" t="s">
        <v>99</v>
      </c>
      <c r="D265" s="12" t="s">
        <v>90</v>
      </c>
      <c r="E265" s="13">
        <v>24</v>
      </c>
      <c r="F265" s="14">
        <v>7000</v>
      </c>
      <c r="G265" s="14">
        <v>4000</v>
      </c>
      <c r="H265" s="12" t="s">
        <v>112</v>
      </c>
      <c r="I265" s="12" t="s">
        <v>113</v>
      </c>
      <c r="J265" s="15">
        <f>MATCH(D265,Calculations!$A$5:$A$16,0)</f>
        <v>9</v>
      </c>
      <c r="K265" s="14">
        <f t="shared" si="16"/>
        <v>168000</v>
      </c>
      <c r="L265" s="14">
        <f t="shared" si="17"/>
        <v>96000</v>
      </c>
      <c r="M265" s="14">
        <f t="shared" si="18"/>
        <v>72000</v>
      </c>
      <c r="N265" s="16">
        <f t="shared" si="19"/>
        <v>0.42857142857142855</v>
      </c>
    </row>
    <row r="266" spans="1:14" ht="14.25" customHeight="1" x14ac:dyDescent="0.3">
      <c r="A266" s="17" t="s">
        <v>109</v>
      </c>
      <c r="B266" s="17" t="s">
        <v>100</v>
      </c>
      <c r="C266" s="17" t="s">
        <v>99</v>
      </c>
      <c r="D266" s="17" t="s">
        <v>91</v>
      </c>
      <c r="E266" s="18">
        <v>24</v>
      </c>
      <c r="F266" s="19">
        <v>7000</v>
      </c>
      <c r="G266" s="19">
        <v>4000</v>
      </c>
      <c r="H266" s="17" t="s">
        <v>110</v>
      </c>
      <c r="I266" s="17" t="s">
        <v>114</v>
      </c>
      <c r="J266" s="20">
        <f>MATCH(D266,Calculations!$A$5:$A$16,0)</f>
        <v>10</v>
      </c>
      <c r="K266" s="19">
        <f t="shared" si="16"/>
        <v>168000</v>
      </c>
      <c r="L266" s="19">
        <f t="shared" si="17"/>
        <v>96000</v>
      </c>
      <c r="M266" s="19">
        <f t="shared" si="18"/>
        <v>72000</v>
      </c>
      <c r="N266" s="21">
        <f t="shared" si="19"/>
        <v>0.42857142857142855</v>
      </c>
    </row>
    <row r="267" spans="1:14" ht="14.25" customHeight="1" x14ac:dyDescent="0.3">
      <c r="A267" s="12" t="s">
        <v>109</v>
      </c>
      <c r="B267" s="12" t="s">
        <v>100</v>
      </c>
      <c r="C267" s="12" t="s">
        <v>99</v>
      </c>
      <c r="D267" s="12" t="s">
        <v>92</v>
      </c>
      <c r="E267" s="13">
        <v>25</v>
      </c>
      <c r="F267" s="14">
        <v>7000</v>
      </c>
      <c r="G267" s="14">
        <v>4000</v>
      </c>
      <c r="H267" s="12" t="s">
        <v>112</v>
      </c>
      <c r="I267" s="12" t="s">
        <v>111</v>
      </c>
      <c r="J267" s="15">
        <f>MATCH(D267,Calculations!$A$5:$A$16,0)</f>
        <v>11</v>
      </c>
      <c r="K267" s="14">
        <f t="shared" si="16"/>
        <v>175000</v>
      </c>
      <c r="L267" s="14">
        <f t="shared" si="17"/>
        <v>100000</v>
      </c>
      <c r="M267" s="14">
        <f t="shared" si="18"/>
        <v>75000</v>
      </c>
      <c r="N267" s="16">
        <f t="shared" si="19"/>
        <v>0.42857142857142855</v>
      </c>
    </row>
    <row r="268" spans="1:14" ht="14.25" customHeight="1" x14ac:dyDescent="0.3">
      <c r="A268" s="17" t="s">
        <v>109</v>
      </c>
      <c r="B268" s="17" t="s">
        <v>100</v>
      </c>
      <c r="C268" s="17" t="s">
        <v>99</v>
      </c>
      <c r="D268" s="17" t="s">
        <v>93</v>
      </c>
      <c r="E268" s="18">
        <v>27</v>
      </c>
      <c r="F268" s="19">
        <v>7000</v>
      </c>
      <c r="G268" s="19">
        <v>4000</v>
      </c>
      <c r="H268" s="17" t="s">
        <v>110</v>
      </c>
      <c r="I268" s="17" t="s">
        <v>113</v>
      </c>
      <c r="J268" s="20">
        <f>MATCH(D268,Calculations!$A$5:$A$16,0)</f>
        <v>12</v>
      </c>
      <c r="K268" s="19">
        <f t="shared" si="16"/>
        <v>189000</v>
      </c>
      <c r="L268" s="19">
        <f t="shared" si="17"/>
        <v>108000</v>
      </c>
      <c r="M268" s="19">
        <f t="shared" si="18"/>
        <v>81000</v>
      </c>
      <c r="N268" s="21">
        <f t="shared" si="19"/>
        <v>0.42857142857142855</v>
      </c>
    </row>
    <row r="269" spans="1:14" ht="14.25" customHeight="1" x14ac:dyDescent="0.3">
      <c r="A269" s="12" t="s">
        <v>109</v>
      </c>
      <c r="B269" s="12" t="s">
        <v>101</v>
      </c>
      <c r="C269" s="12" t="s">
        <v>95</v>
      </c>
      <c r="D269" s="12" t="s">
        <v>77</v>
      </c>
      <c r="E269" s="13">
        <v>45</v>
      </c>
      <c r="F269" s="14">
        <v>3000</v>
      </c>
      <c r="G269" s="14">
        <v>1800</v>
      </c>
      <c r="H269" s="12" t="s">
        <v>110</v>
      </c>
      <c r="I269" s="12" t="s">
        <v>111</v>
      </c>
      <c r="J269" s="15">
        <f>MATCH(D269,Calculations!$A$5:$A$16,0)</f>
        <v>1</v>
      </c>
      <c r="K269" s="14">
        <f t="shared" si="16"/>
        <v>135000</v>
      </c>
      <c r="L269" s="14">
        <f t="shared" si="17"/>
        <v>81000</v>
      </c>
      <c r="M269" s="14">
        <f t="shared" si="18"/>
        <v>54000</v>
      </c>
      <c r="N269" s="16">
        <f t="shared" si="19"/>
        <v>0.4</v>
      </c>
    </row>
    <row r="270" spans="1:14" ht="14.25" customHeight="1" x14ac:dyDescent="0.3">
      <c r="A270" s="17" t="s">
        <v>109</v>
      </c>
      <c r="B270" s="17" t="s">
        <v>101</v>
      </c>
      <c r="C270" s="17" t="s">
        <v>95</v>
      </c>
      <c r="D270" s="17" t="s">
        <v>80</v>
      </c>
      <c r="E270" s="18">
        <v>48</v>
      </c>
      <c r="F270" s="19">
        <v>3000</v>
      </c>
      <c r="G270" s="19">
        <v>1800</v>
      </c>
      <c r="H270" s="17" t="s">
        <v>112</v>
      </c>
      <c r="I270" s="17" t="s">
        <v>113</v>
      </c>
      <c r="J270" s="20">
        <f>MATCH(D270,Calculations!$A$5:$A$16,0)</f>
        <v>2</v>
      </c>
      <c r="K270" s="19">
        <f t="shared" si="16"/>
        <v>144000</v>
      </c>
      <c r="L270" s="19">
        <f t="shared" si="17"/>
        <v>86400</v>
      </c>
      <c r="M270" s="19">
        <f t="shared" si="18"/>
        <v>57600</v>
      </c>
      <c r="N270" s="21">
        <f t="shared" si="19"/>
        <v>0.4</v>
      </c>
    </row>
    <row r="271" spans="1:14" ht="14.25" customHeight="1" x14ac:dyDescent="0.3">
      <c r="A271" s="12" t="s">
        <v>109</v>
      </c>
      <c r="B271" s="12" t="s">
        <v>101</v>
      </c>
      <c r="C271" s="12" t="s">
        <v>95</v>
      </c>
      <c r="D271" s="12" t="s">
        <v>83</v>
      </c>
      <c r="E271" s="13">
        <v>52</v>
      </c>
      <c r="F271" s="14">
        <v>3000</v>
      </c>
      <c r="G271" s="14">
        <v>1800</v>
      </c>
      <c r="H271" s="12" t="s">
        <v>110</v>
      </c>
      <c r="I271" s="12" t="s">
        <v>114</v>
      </c>
      <c r="J271" s="15">
        <f>MATCH(D271,Calculations!$A$5:$A$16,0)</f>
        <v>3</v>
      </c>
      <c r="K271" s="14">
        <f t="shared" si="16"/>
        <v>156000</v>
      </c>
      <c r="L271" s="14">
        <f t="shared" si="17"/>
        <v>93600</v>
      </c>
      <c r="M271" s="14">
        <f t="shared" si="18"/>
        <v>62400</v>
      </c>
      <c r="N271" s="16">
        <f t="shared" si="19"/>
        <v>0.4</v>
      </c>
    </row>
    <row r="272" spans="1:14" ht="14.25" customHeight="1" x14ac:dyDescent="0.3">
      <c r="A272" s="17" t="s">
        <v>109</v>
      </c>
      <c r="B272" s="17" t="s">
        <v>101</v>
      </c>
      <c r="C272" s="17" t="s">
        <v>95</v>
      </c>
      <c r="D272" s="17" t="s">
        <v>85</v>
      </c>
      <c r="E272" s="18">
        <v>51</v>
      </c>
      <c r="F272" s="19">
        <v>3000</v>
      </c>
      <c r="G272" s="19">
        <v>1800</v>
      </c>
      <c r="H272" s="17" t="s">
        <v>112</v>
      </c>
      <c r="I272" s="17" t="s">
        <v>111</v>
      </c>
      <c r="J272" s="20">
        <f>MATCH(D272,Calculations!$A$5:$A$16,0)</f>
        <v>4</v>
      </c>
      <c r="K272" s="19">
        <f t="shared" si="16"/>
        <v>153000</v>
      </c>
      <c r="L272" s="19">
        <f t="shared" si="17"/>
        <v>91800</v>
      </c>
      <c r="M272" s="19">
        <f t="shared" si="18"/>
        <v>61200</v>
      </c>
      <c r="N272" s="21">
        <f t="shared" si="19"/>
        <v>0.4</v>
      </c>
    </row>
    <row r="273" spans="1:14" ht="14.25" customHeight="1" x14ac:dyDescent="0.3">
      <c r="A273" s="12" t="s">
        <v>109</v>
      </c>
      <c r="B273" s="12" t="s">
        <v>101</v>
      </c>
      <c r="C273" s="12" t="s">
        <v>95</v>
      </c>
      <c r="D273" s="12" t="s">
        <v>86</v>
      </c>
      <c r="E273" s="13">
        <v>54</v>
      </c>
      <c r="F273" s="14">
        <v>3000</v>
      </c>
      <c r="G273" s="14">
        <v>1800</v>
      </c>
      <c r="H273" s="12" t="s">
        <v>110</v>
      </c>
      <c r="I273" s="12" t="s">
        <v>113</v>
      </c>
      <c r="J273" s="15">
        <f>MATCH(D273,Calculations!$A$5:$A$16,0)</f>
        <v>5</v>
      </c>
      <c r="K273" s="14">
        <f t="shared" si="16"/>
        <v>162000</v>
      </c>
      <c r="L273" s="14">
        <f t="shared" si="17"/>
        <v>97200</v>
      </c>
      <c r="M273" s="14">
        <f t="shared" si="18"/>
        <v>64800</v>
      </c>
      <c r="N273" s="16">
        <f t="shared" si="19"/>
        <v>0.4</v>
      </c>
    </row>
    <row r="274" spans="1:14" ht="14.25" customHeight="1" x14ac:dyDescent="0.3">
      <c r="A274" s="17" t="s">
        <v>109</v>
      </c>
      <c r="B274" s="17" t="s">
        <v>101</v>
      </c>
      <c r="C274" s="17" t="s">
        <v>95</v>
      </c>
      <c r="D274" s="17" t="s">
        <v>87</v>
      </c>
      <c r="E274" s="18">
        <v>53</v>
      </c>
      <c r="F274" s="19">
        <v>3000</v>
      </c>
      <c r="G274" s="19">
        <v>1800</v>
      </c>
      <c r="H274" s="17" t="s">
        <v>112</v>
      </c>
      <c r="I274" s="17" t="s">
        <v>114</v>
      </c>
      <c r="J274" s="20">
        <f>MATCH(D274,Calculations!$A$5:$A$16,0)</f>
        <v>6</v>
      </c>
      <c r="K274" s="19">
        <f t="shared" si="16"/>
        <v>159000</v>
      </c>
      <c r="L274" s="19">
        <f t="shared" si="17"/>
        <v>95400</v>
      </c>
      <c r="M274" s="19">
        <f t="shared" si="18"/>
        <v>63600</v>
      </c>
      <c r="N274" s="21">
        <f t="shared" si="19"/>
        <v>0.4</v>
      </c>
    </row>
    <row r="275" spans="1:14" ht="14.25" customHeight="1" x14ac:dyDescent="0.3">
      <c r="A275" s="12" t="s">
        <v>109</v>
      </c>
      <c r="B275" s="12" t="s">
        <v>101</v>
      </c>
      <c r="C275" s="12" t="s">
        <v>95</v>
      </c>
      <c r="D275" s="12" t="s">
        <v>88</v>
      </c>
      <c r="E275" s="13">
        <v>57</v>
      </c>
      <c r="F275" s="14">
        <v>3000</v>
      </c>
      <c r="G275" s="14">
        <v>1800</v>
      </c>
      <c r="H275" s="12" t="s">
        <v>110</v>
      </c>
      <c r="I275" s="12" t="s">
        <v>111</v>
      </c>
      <c r="J275" s="15">
        <f>MATCH(D275,Calculations!$A$5:$A$16,0)</f>
        <v>7</v>
      </c>
      <c r="K275" s="14">
        <f t="shared" si="16"/>
        <v>171000</v>
      </c>
      <c r="L275" s="14">
        <f t="shared" si="17"/>
        <v>102600</v>
      </c>
      <c r="M275" s="14">
        <f t="shared" si="18"/>
        <v>68400</v>
      </c>
      <c r="N275" s="16">
        <f t="shared" si="19"/>
        <v>0.4</v>
      </c>
    </row>
    <row r="276" spans="1:14" ht="14.25" customHeight="1" x14ac:dyDescent="0.3">
      <c r="A276" s="17" t="s">
        <v>109</v>
      </c>
      <c r="B276" s="17" t="s">
        <v>101</v>
      </c>
      <c r="C276" s="17" t="s">
        <v>95</v>
      </c>
      <c r="D276" s="17" t="s">
        <v>89</v>
      </c>
      <c r="E276" s="18">
        <v>61</v>
      </c>
      <c r="F276" s="19">
        <v>3000</v>
      </c>
      <c r="G276" s="19">
        <v>1800</v>
      </c>
      <c r="H276" s="17" t="s">
        <v>112</v>
      </c>
      <c r="I276" s="17" t="s">
        <v>113</v>
      </c>
      <c r="J276" s="20">
        <f>MATCH(D276,Calculations!$A$5:$A$16,0)</f>
        <v>8</v>
      </c>
      <c r="K276" s="19">
        <f t="shared" si="16"/>
        <v>183000</v>
      </c>
      <c r="L276" s="19">
        <f t="shared" si="17"/>
        <v>109800</v>
      </c>
      <c r="M276" s="19">
        <f t="shared" si="18"/>
        <v>73200</v>
      </c>
      <c r="N276" s="21">
        <f t="shared" si="19"/>
        <v>0.4</v>
      </c>
    </row>
    <row r="277" spans="1:14" ht="14.25" customHeight="1" x14ac:dyDescent="0.3">
      <c r="A277" s="12" t="s">
        <v>109</v>
      </c>
      <c r="B277" s="12" t="s">
        <v>101</v>
      </c>
      <c r="C277" s="12" t="s">
        <v>95</v>
      </c>
      <c r="D277" s="12" t="s">
        <v>90</v>
      </c>
      <c r="E277" s="13">
        <v>59</v>
      </c>
      <c r="F277" s="14">
        <v>3000</v>
      </c>
      <c r="G277" s="14">
        <v>1800</v>
      </c>
      <c r="H277" s="12" t="s">
        <v>110</v>
      </c>
      <c r="I277" s="12" t="s">
        <v>114</v>
      </c>
      <c r="J277" s="15">
        <f>MATCH(D277,Calculations!$A$5:$A$16,0)</f>
        <v>9</v>
      </c>
      <c r="K277" s="14">
        <f t="shared" si="16"/>
        <v>177000</v>
      </c>
      <c r="L277" s="14">
        <f t="shared" si="17"/>
        <v>106200</v>
      </c>
      <c r="M277" s="14">
        <f t="shared" si="18"/>
        <v>70800</v>
      </c>
      <c r="N277" s="16">
        <f t="shared" si="19"/>
        <v>0.4</v>
      </c>
    </row>
    <row r="278" spans="1:14" ht="14.25" customHeight="1" x14ac:dyDescent="0.3">
      <c r="A278" s="17" t="s">
        <v>109</v>
      </c>
      <c r="B278" s="17" t="s">
        <v>101</v>
      </c>
      <c r="C278" s="17" t="s">
        <v>95</v>
      </c>
      <c r="D278" s="17" t="s">
        <v>91</v>
      </c>
      <c r="E278" s="18">
        <v>63</v>
      </c>
      <c r="F278" s="19">
        <v>3000</v>
      </c>
      <c r="G278" s="19">
        <v>1800</v>
      </c>
      <c r="H278" s="17" t="s">
        <v>112</v>
      </c>
      <c r="I278" s="17" t="s">
        <v>111</v>
      </c>
      <c r="J278" s="20">
        <f>MATCH(D278,Calculations!$A$5:$A$16,0)</f>
        <v>10</v>
      </c>
      <c r="K278" s="19">
        <f t="shared" si="16"/>
        <v>189000</v>
      </c>
      <c r="L278" s="19">
        <f t="shared" si="17"/>
        <v>113400</v>
      </c>
      <c r="M278" s="19">
        <f t="shared" si="18"/>
        <v>75600</v>
      </c>
      <c r="N278" s="21">
        <f t="shared" si="19"/>
        <v>0.4</v>
      </c>
    </row>
    <row r="279" spans="1:14" ht="14.25" customHeight="1" x14ac:dyDescent="0.3">
      <c r="A279" s="12" t="s">
        <v>109</v>
      </c>
      <c r="B279" s="12" t="s">
        <v>101</v>
      </c>
      <c r="C279" s="12" t="s">
        <v>95</v>
      </c>
      <c r="D279" s="12" t="s">
        <v>92</v>
      </c>
      <c r="E279" s="13">
        <v>61</v>
      </c>
      <c r="F279" s="14">
        <v>3000</v>
      </c>
      <c r="G279" s="14">
        <v>1800</v>
      </c>
      <c r="H279" s="12" t="s">
        <v>110</v>
      </c>
      <c r="I279" s="12" t="s">
        <v>113</v>
      </c>
      <c r="J279" s="15">
        <f>MATCH(D279,Calculations!$A$5:$A$16,0)</f>
        <v>11</v>
      </c>
      <c r="K279" s="14">
        <f t="shared" si="16"/>
        <v>183000</v>
      </c>
      <c r="L279" s="14">
        <f t="shared" si="17"/>
        <v>109800</v>
      </c>
      <c r="M279" s="14">
        <f t="shared" si="18"/>
        <v>73200</v>
      </c>
      <c r="N279" s="16">
        <f t="shared" si="19"/>
        <v>0.4</v>
      </c>
    </row>
    <row r="280" spans="1:14" ht="14.25" customHeight="1" x14ac:dyDescent="0.3">
      <c r="A280" s="17" t="s">
        <v>109</v>
      </c>
      <c r="B280" s="17" t="s">
        <v>101</v>
      </c>
      <c r="C280" s="17" t="s">
        <v>95</v>
      </c>
      <c r="D280" s="17" t="s">
        <v>93</v>
      </c>
      <c r="E280" s="18">
        <v>65</v>
      </c>
      <c r="F280" s="19">
        <v>3000</v>
      </c>
      <c r="G280" s="19">
        <v>1800</v>
      </c>
      <c r="H280" s="17" t="s">
        <v>112</v>
      </c>
      <c r="I280" s="17" t="s">
        <v>114</v>
      </c>
      <c r="J280" s="20">
        <f>MATCH(D280,Calculations!$A$5:$A$16,0)</f>
        <v>12</v>
      </c>
      <c r="K280" s="19">
        <f t="shared" si="16"/>
        <v>195000</v>
      </c>
      <c r="L280" s="19">
        <f t="shared" si="17"/>
        <v>117000</v>
      </c>
      <c r="M280" s="19">
        <f t="shared" si="18"/>
        <v>78000</v>
      </c>
      <c r="N280" s="21">
        <f t="shared" si="19"/>
        <v>0.4</v>
      </c>
    </row>
    <row r="281" spans="1:14" ht="14.25" customHeight="1" x14ac:dyDescent="0.3">
      <c r="A281" s="12" t="s">
        <v>109</v>
      </c>
      <c r="B281" s="12" t="s">
        <v>102</v>
      </c>
      <c r="C281" s="12" t="s">
        <v>99</v>
      </c>
      <c r="D281" s="12" t="s">
        <v>77</v>
      </c>
      <c r="E281" s="13">
        <v>30</v>
      </c>
      <c r="F281" s="14">
        <v>4000</v>
      </c>
      <c r="G281" s="14">
        <v>2200</v>
      </c>
      <c r="H281" s="12" t="s">
        <v>112</v>
      </c>
      <c r="I281" s="12" t="s">
        <v>113</v>
      </c>
      <c r="J281" s="15">
        <f>MATCH(D281,Calculations!$A$5:$A$16,0)</f>
        <v>1</v>
      </c>
      <c r="K281" s="14">
        <f t="shared" si="16"/>
        <v>120000</v>
      </c>
      <c r="L281" s="14">
        <f t="shared" si="17"/>
        <v>66000</v>
      </c>
      <c r="M281" s="14">
        <f t="shared" si="18"/>
        <v>54000</v>
      </c>
      <c r="N281" s="16">
        <f t="shared" si="19"/>
        <v>0.45</v>
      </c>
    </row>
    <row r="282" spans="1:14" ht="14.25" customHeight="1" x14ac:dyDescent="0.3">
      <c r="A282" s="17" t="s">
        <v>109</v>
      </c>
      <c r="B282" s="17" t="s">
        <v>102</v>
      </c>
      <c r="C282" s="17" t="s">
        <v>99</v>
      </c>
      <c r="D282" s="17" t="s">
        <v>80</v>
      </c>
      <c r="E282" s="18">
        <v>30</v>
      </c>
      <c r="F282" s="19">
        <v>4000</v>
      </c>
      <c r="G282" s="19">
        <v>2200</v>
      </c>
      <c r="H282" s="17" t="s">
        <v>110</v>
      </c>
      <c r="I282" s="17" t="s">
        <v>114</v>
      </c>
      <c r="J282" s="20">
        <f>MATCH(D282,Calculations!$A$5:$A$16,0)</f>
        <v>2</v>
      </c>
      <c r="K282" s="19">
        <f t="shared" si="16"/>
        <v>120000</v>
      </c>
      <c r="L282" s="19">
        <f t="shared" si="17"/>
        <v>66000</v>
      </c>
      <c r="M282" s="19">
        <f t="shared" si="18"/>
        <v>54000</v>
      </c>
      <c r="N282" s="21">
        <f t="shared" si="19"/>
        <v>0.45</v>
      </c>
    </row>
    <row r="283" spans="1:14" ht="14.25" customHeight="1" x14ac:dyDescent="0.3">
      <c r="A283" s="12" t="s">
        <v>109</v>
      </c>
      <c r="B283" s="12" t="s">
        <v>102</v>
      </c>
      <c r="C283" s="12" t="s">
        <v>99</v>
      </c>
      <c r="D283" s="12" t="s">
        <v>83</v>
      </c>
      <c r="E283" s="13">
        <v>32</v>
      </c>
      <c r="F283" s="14">
        <v>4000</v>
      </c>
      <c r="G283" s="14">
        <v>2200</v>
      </c>
      <c r="H283" s="12" t="s">
        <v>112</v>
      </c>
      <c r="I283" s="12" t="s">
        <v>111</v>
      </c>
      <c r="J283" s="15">
        <f>MATCH(D283,Calculations!$A$5:$A$16,0)</f>
        <v>3</v>
      </c>
      <c r="K283" s="14">
        <f t="shared" si="16"/>
        <v>128000</v>
      </c>
      <c r="L283" s="14">
        <f t="shared" si="17"/>
        <v>70400</v>
      </c>
      <c r="M283" s="14">
        <f t="shared" si="18"/>
        <v>57600</v>
      </c>
      <c r="N283" s="16">
        <f t="shared" si="19"/>
        <v>0.45</v>
      </c>
    </row>
    <row r="284" spans="1:14" ht="14.25" customHeight="1" x14ac:dyDescent="0.3">
      <c r="A284" s="17" t="s">
        <v>109</v>
      </c>
      <c r="B284" s="17" t="s">
        <v>102</v>
      </c>
      <c r="C284" s="17" t="s">
        <v>99</v>
      </c>
      <c r="D284" s="17" t="s">
        <v>85</v>
      </c>
      <c r="E284" s="18">
        <v>34</v>
      </c>
      <c r="F284" s="19">
        <v>4000</v>
      </c>
      <c r="G284" s="19">
        <v>2200</v>
      </c>
      <c r="H284" s="17" t="s">
        <v>110</v>
      </c>
      <c r="I284" s="17" t="s">
        <v>113</v>
      </c>
      <c r="J284" s="20">
        <f>MATCH(D284,Calculations!$A$5:$A$16,0)</f>
        <v>4</v>
      </c>
      <c r="K284" s="19">
        <f t="shared" si="16"/>
        <v>136000</v>
      </c>
      <c r="L284" s="19">
        <f t="shared" si="17"/>
        <v>74800</v>
      </c>
      <c r="M284" s="19">
        <f t="shared" si="18"/>
        <v>61200</v>
      </c>
      <c r="N284" s="21">
        <f t="shared" si="19"/>
        <v>0.45</v>
      </c>
    </row>
    <row r="285" spans="1:14" ht="14.25" customHeight="1" x14ac:dyDescent="0.3">
      <c r="A285" s="12" t="s">
        <v>109</v>
      </c>
      <c r="B285" s="12" t="s">
        <v>102</v>
      </c>
      <c r="C285" s="12" t="s">
        <v>99</v>
      </c>
      <c r="D285" s="12" t="s">
        <v>86</v>
      </c>
      <c r="E285" s="13">
        <v>33</v>
      </c>
      <c r="F285" s="14">
        <v>4000</v>
      </c>
      <c r="G285" s="14">
        <v>2200</v>
      </c>
      <c r="H285" s="12" t="s">
        <v>112</v>
      </c>
      <c r="I285" s="12" t="s">
        <v>114</v>
      </c>
      <c r="J285" s="15">
        <f>MATCH(D285,Calculations!$A$5:$A$16,0)</f>
        <v>5</v>
      </c>
      <c r="K285" s="14">
        <f t="shared" si="16"/>
        <v>132000</v>
      </c>
      <c r="L285" s="14">
        <f t="shared" si="17"/>
        <v>72600</v>
      </c>
      <c r="M285" s="14">
        <f t="shared" si="18"/>
        <v>59400</v>
      </c>
      <c r="N285" s="16">
        <f t="shared" si="19"/>
        <v>0.45</v>
      </c>
    </row>
    <row r="286" spans="1:14" ht="14.25" customHeight="1" x14ac:dyDescent="0.3">
      <c r="A286" s="17" t="s">
        <v>109</v>
      </c>
      <c r="B286" s="17" t="s">
        <v>102</v>
      </c>
      <c r="C286" s="17" t="s">
        <v>99</v>
      </c>
      <c r="D286" s="17" t="s">
        <v>87</v>
      </c>
      <c r="E286" s="18">
        <v>36</v>
      </c>
      <c r="F286" s="19">
        <v>4000</v>
      </c>
      <c r="G286" s="19">
        <v>2200</v>
      </c>
      <c r="H286" s="17" t="s">
        <v>110</v>
      </c>
      <c r="I286" s="17" t="s">
        <v>111</v>
      </c>
      <c r="J286" s="20">
        <f>MATCH(D286,Calculations!$A$5:$A$16,0)</f>
        <v>6</v>
      </c>
      <c r="K286" s="19">
        <f t="shared" si="16"/>
        <v>144000</v>
      </c>
      <c r="L286" s="19">
        <f t="shared" si="17"/>
        <v>79200</v>
      </c>
      <c r="M286" s="19">
        <f t="shared" si="18"/>
        <v>64800</v>
      </c>
      <c r="N286" s="21">
        <f t="shared" si="19"/>
        <v>0.45</v>
      </c>
    </row>
    <row r="287" spans="1:14" ht="14.25" customHeight="1" x14ac:dyDescent="0.3">
      <c r="A287" s="12" t="s">
        <v>109</v>
      </c>
      <c r="B287" s="12" t="s">
        <v>102</v>
      </c>
      <c r="C287" s="12" t="s">
        <v>99</v>
      </c>
      <c r="D287" s="12" t="s">
        <v>88</v>
      </c>
      <c r="E287" s="13">
        <v>35</v>
      </c>
      <c r="F287" s="14">
        <v>4000</v>
      </c>
      <c r="G287" s="14">
        <v>2200</v>
      </c>
      <c r="H287" s="12" t="s">
        <v>112</v>
      </c>
      <c r="I287" s="12" t="s">
        <v>113</v>
      </c>
      <c r="J287" s="15">
        <f>MATCH(D287,Calculations!$A$5:$A$16,0)</f>
        <v>7</v>
      </c>
      <c r="K287" s="14">
        <f t="shared" si="16"/>
        <v>140000</v>
      </c>
      <c r="L287" s="14">
        <f t="shared" si="17"/>
        <v>77000</v>
      </c>
      <c r="M287" s="14">
        <f t="shared" si="18"/>
        <v>63000</v>
      </c>
      <c r="N287" s="16">
        <f t="shared" si="19"/>
        <v>0.45</v>
      </c>
    </row>
    <row r="288" spans="1:14" ht="14.25" customHeight="1" x14ac:dyDescent="0.3">
      <c r="A288" s="17" t="s">
        <v>109</v>
      </c>
      <c r="B288" s="17" t="s">
        <v>102</v>
      </c>
      <c r="C288" s="17" t="s">
        <v>99</v>
      </c>
      <c r="D288" s="17" t="s">
        <v>89</v>
      </c>
      <c r="E288" s="18">
        <v>37</v>
      </c>
      <c r="F288" s="19">
        <v>4000</v>
      </c>
      <c r="G288" s="19">
        <v>2200</v>
      </c>
      <c r="H288" s="17" t="s">
        <v>110</v>
      </c>
      <c r="I288" s="17" t="s">
        <v>114</v>
      </c>
      <c r="J288" s="20">
        <f>MATCH(D288,Calculations!$A$5:$A$16,0)</f>
        <v>8</v>
      </c>
      <c r="K288" s="19">
        <f t="shared" si="16"/>
        <v>148000</v>
      </c>
      <c r="L288" s="19">
        <f t="shared" si="17"/>
        <v>81400</v>
      </c>
      <c r="M288" s="19">
        <f t="shared" si="18"/>
        <v>66600</v>
      </c>
      <c r="N288" s="21">
        <f t="shared" si="19"/>
        <v>0.45</v>
      </c>
    </row>
    <row r="289" spans="1:14" ht="14.25" customHeight="1" x14ac:dyDescent="0.3">
      <c r="A289" s="12" t="s">
        <v>109</v>
      </c>
      <c r="B289" s="12" t="s">
        <v>102</v>
      </c>
      <c r="C289" s="12" t="s">
        <v>99</v>
      </c>
      <c r="D289" s="12" t="s">
        <v>90</v>
      </c>
      <c r="E289" s="13">
        <v>40</v>
      </c>
      <c r="F289" s="14">
        <v>4000</v>
      </c>
      <c r="G289" s="14">
        <v>2200</v>
      </c>
      <c r="H289" s="12" t="s">
        <v>112</v>
      </c>
      <c r="I289" s="12" t="s">
        <v>111</v>
      </c>
      <c r="J289" s="15">
        <f>MATCH(D289,Calculations!$A$5:$A$16,0)</f>
        <v>9</v>
      </c>
      <c r="K289" s="14">
        <f t="shared" si="16"/>
        <v>160000</v>
      </c>
      <c r="L289" s="14">
        <f t="shared" si="17"/>
        <v>88000</v>
      </c>
      <c r="M289" s="14">
        <f t="shared" si="18"/>
        <v>72000</v>
      </c>
      <c r="N289" s="16">
        <f t="shared" si="19"/>
        <v>0.45</v>
      </c>
    </row>
    <row r="290" spans="1:14" ht="14.25" customHeight="1" x14ac:dyDescent="0.3">
      <c r="A290" s="17" t="s">
        <v>109</v>
      </c>
      <c r="B290" s="17" t="s">
        <v>102</v>
      </c>
      <c r="C290" s="17" t="s">
        <v>99</v>
      </c>
      <c r="D290" s="17" t="s">
        <v>91</v>
      </c>
      <c r="E290" s="18">
        <v>38</v>
      </c>
      <c r="F290" s="19">
        <v>4000</v>
      </c>
      <c r="G290" s="19">
        <v>2200</v>
      </c>
      <c r="H290" s="17" t="s">
        <v>110</v>
      </c>
      <c r="I290" s="17" t="s">
        <v>113</v>
      </c>
      <c r="J290" s="20">
        <f>MATCH(D290,Calculations!$A$5:$A$16,0)</f>
        <v>10</v>
      </c>
      <c r="K290" s="19">
        <f t="shared" si="16"/>
        <v>152000</v>
      </c>
      <c r="L290" s="19">
        <f t="shared" si="17"/>
        <v>83600</v>
      </c>
      <c r="M290" s="19">
        <f t="shared" si="18"/>
        <v>68400</v>
      </c>
      <c r="N290" s="21">
        <f t="shared" si="19"/>
        <v>0.45</v>
      </c>
    </row>
    <row r="291" spans="1:14" ht="14.25" customHeight="1" x14ac:dyDescent="0.3">
      <c r="A291" s="12" t="s">
        <v>109</v>
      </c>
      <c r="B291" s="12" t="s">
        <v>102</v>
      </c>
      <c r="C291" s="12" t="s">
        <v>99</v>
      </c>
      <c r="D291" s="12" t="s">
        <v>92</v>
      </c>
      <c r="E291" s="13">
        <v>41</v>
      </c>
      <c r="F291" s="14">
        <v>4000</v>
      </c>
      <c r="G291" s="14">
        <v>2200</v>
      </c>
      <c r="H291" s="12" t="s">
        <v>112</v>
      </c>
      <c r="I291" s="12" t="s">
        <v>114</v>
      </c>
      <c r="J291" s="15">
        <f>MATCH(D291,Calculations!$A$5:$A$16,0)</f>
        <v>11</v>
      </c>
      <c r="K291" s="14">
        <f t="shared" si="16"/>
        <v>164000</v>
      </c>
      <c r="L291" s="14">
        <f t="shared" si="17"/>
        <v>90200</v>
      </c>
      <c r="M291" s="14">
        <f t="shared" si="18"/>
        <v>73800</v>
      </c>
      <c r="N291" s="16">
        <f t="shared" si="19"/>
        <v>0.45</v>
      </c>
    </row>
    <row r="292" spans="1:14" ht="14.25" customHeight="1" x14ac:dyDescent="0.3">
      <c r="A292" s="17" t="s">
        <v>109</v>
      </c>
      <c r="B292" s="17" t="s">
        <v>102</v>
      </c>
      <c r="C292" s="17" t="s">
        <v>99</v>
      </c>
      <c r="D292" s="17" t="s">
        <v>93</v>
      </c>
      <c r="E292" s="18">
        <v>40</v>
      </c>
      <c r="F292" s="19">
        <v>4000</v>
      </c>
      <c r="G292" s="19">
        <v>2200</v>
      </c>
      <c r="H292" s="17" t="s">
        <v>110</v>
      </c>
      <c r="I292" s="17" t="s">
        <v>111</v>
      </c>
      <c r="J292" s="20">
        <f>MATCH(D292,Calculations!$A$5:$A$16,0)</f>
        <v>12</v>
      </c>
      <c r="K292" s="19">
        <f t="shared" si="16"/>
        <v>160000</v>
      </c>
      <c r="L292" s="19">
        <f t="shared" si="17"/>
        <v>88000</v>
      </c>
      <c r="M292" s="19">
        <f t="shared" si="18"/>
        <v>72000</v>
      </c>
      <c r="N292" s="21">
        <f t="shared" si="19"/>
        <v>0.45</v>
      </c>
    </row>
  </sheetData>
  <sheetProtection sheet="1" objects="1" scenarios="1"/>
  <autoFilter ref="A4:N292" xr:uid="{00000000-0009-0000-0000-000003000000}"/>
  <mergeCells count="2">
    <mergeCell ref="A1:N1"/>
    <mergeCell ref="A2:N3"/>
  </mergeCells>
  <pageMargins left="0.4" right="0.4" top="0.5" bottom="0.5" header="0.511811023622047" footer="0.51180555555555596"/>
  <pageSetup paperSize="9" fitToHeight="0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2"/>
  <sheetViews>
    <sheetView showGridLines="0" zoomScaleNormal="100" workbookViewId="0">
      <selection activeCell="H15" sqref="A1:XFD1048576"/>
    </sheetView>
  </sheetViews>
  <sheetFormatPr defaultColWidth="8.6640625" defaultRowHeight="14.4" x14ac:dyDescent="0.3"/>
  <cols>
    <col min="1" max="1" width="20" customWidth="1"/>
    <col min="2" max="2" width="18" customWidth="1"/>
    <col min="3" max="4" width="13" style="9" customWidth="1"/>
    <col min="5" max="5" width="13" style="8" customWidth="1"/>
    <col min="6" max="8" width="16" style="9" customWidth="1"/>
    <col min="9" max="9" width="14" style="8" customWidth="1"/>
    <col min="10" max="10" width="13" style="8" customWidth="1"/>
    <col min="11" max="11" width="14" style="8" customWidth="1"/>
    <col min="12" max="12" width="15" style="8" customWidth="1"/>
  </cols>
  <sheetData>
    <row r="1" spans="1:12" ht="27.75" customHeight="1" x14ac:dyDescent="0.3">
      <c r="A1" s="131" t="s">
        <v>115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</row>
    <row r="2" spans="1:12" ht="15" customHeight="1" x14ac:dyDescent="0.3">
      <c r="A2" s="132" t="s">
        <v>116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</row>
    <row r="3" spans="1:12" ht="14.25" customHeight="1" x14ac:dyDescent="0.3">
      <c r="A3" s="132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</row>
    <row r="4" spans="1:12" ht="21" customHeight="1" x14ac:dyDescent="0.3">
      <c r="A4" s="22" t="s">
        <v>61</v>
      </c>
      <c r="B4" s="22" t="s">
        <v>62</v>
      </c>
      <c r="C4" s="23" t="s">
        <v>65</v>
      </c>
      <c r="D4" s="23" t="s">
        <v>66</v>
      </c>
      <c r="E4" s="22" t="s">
        <v>64</v>
      </c>
      <c r="F4" s="23" t="s">
        <v>70</v>
      </c>
      <c r="G4" s="23" t="s">
        <v>71</v>
      </c>
      <c r="H4" s="23" t="s">
        <v>72</v>
      </c>
      <c r="I4" s="22" t="s">
        <v>117</v>
      </c>
      <c r="J4" s="22" t="s">
        <v>118</v>
      </c>
      <c r="K4" s="22" t="s">
        <v>119</v>
      </c>
      <c r="L4" s="22" t="s">
        <v>120</v>
      </c>
    </row>
    <row r="5" spans="1:12" ht="15" customHeight="1" x14ac:dyDescent="0.3">
      <c r="A5" s="24" t="s">
        <v>94</v>
      </c>
      <c r="B5" s="24" t="str">
        <f>INDEX('Raw Data'!$C$5:$C$292,MATCH(A5,'Raw Data'!$B$5:$B$292,0))</f>
        <v>Writing Tools</v>
      </c>
      <c r="C5" s="25">
        <f>INDEX('Raw Data'!$F$5:$F$292,MATCH(A5,'Raw Data'!$B$5:$B$292,0))</f>
        <v>5000</v>
      </c>
      <c r="D5" s="25">
        <f>INDEX('Raw Data'!$G$5:$G$292,MATCH(A5,'Raw Data'!$B$5:$B$292,0))</f>
        <v>3000</v>
      </c>
      <c r="E5" s="26">
        <f>SUMIFS('Raw Data'!$E$5:$E$292,'Raw Data'!$B$5:$B$292,A5)</f>
        <v>2833</v>
      </c>
      <c r="F5" s="25">
        <f>SUMIFS('Raw Data'!$K$5:$K$292,'Raw Data'!$B$5:$B$292,A5)</f>
        <v>14165000</v>
      </c>
      <c r="G5" s="25">
        <f>SUMIFS('Raw Data'!$L$5:$L$292,'Raw Data'!$B$5:$B$292,A5)</f>
        <v>8499000</v>
      </c>
      <c r="H5" s="25">
        <f t="shared" ref="H5:H12" si="0">F5-G5</f>
        <v>5666000</v>
      </c>
      <c r="I5" s="27">
        <f t="shared" ref="I5:I12" si="1">IFERROR(H5/F5,0)</f>
        <v>0.4</v>
      </c>
      <c r="J5" s="27">
        <f t="shared" ref="J5:J12" si="2">IFERROR(F5/SUM($F$5:$F$12),0)</f>
        <v>0.14212754856317225</v>
      </c>
      <c r="K5" s="27">
        <f>IFERROR((SUMIFS('Raw Data'!$K$5:$K$292,'Raw Data'!$B$5:$B$292,A5,'Raw Data'!$D$5:$D$292,"December")/SUMIFS('Raw Data'!$K$5:$K$292,'Raw Data'!$B$5:$B$292,A5,'Raw Data'!$D$5:$D$292,"January"))-1,0)</f>
        <v>0.34499999999999997</v>
      </c>
      <c r="L5" s="28">
        <f t="shared" ref="L5:L12" si="3">RANK(F5,$F$5:$F$12,0)</f>
        <v>2</v>
      </c>
    </row>
    <row r="6" spans="1:12" ht="15" customHeight="1" x14ac:dyDescent="0.3">
      <c r="A6" s="17" t="s">
        <v>98</v>
      </c>
      <c r="B6" s="17" t="str">
        <f>INDEX('Raw Data'!$C$5:$C$292,MATCH(A6,'Raw Data'!$B$5:$B$292,0))</f>
        <v>Accessories</v>
      </c>
      <c r="C6" s="19">
        <f>INDEX('Raw Data'!$F$5:$F$292,MATCH(A6,'Raw Data'!$B$5:$B$292,0))</f>
        <v>9000</v>
      </c>
      <c r="D6" s="19">
        <f>INDEX('Raw Data'!$G$5:$G$292,MATCH(A6,'Raw Data'!$B$5:$B$292,0))</f>
        <v>5000</v>
      </c>
      <c r="E6" s="18">
        <f>SUMIFS('Raw Data'!$E$5:$E$292,'Raw Data'!$B$5:$B$292,A6)</f>
        <v>1134</v>
      </c>
      <c r="F6" s="19">
        <f>SUMIFS('Raw Data'!$K$5:$K$292,'Raw Data'!$B$5:$B$292,A6)</f>
        <v>10206000</v>
      </c>
      <c r="G6" s="19">
        <f>SUMIFS('Raw Data'!$L$5:$L$292,'Raw Data'!$B$5:$B$292,A6)</f>
        <v>5670000</v>
      </c>
      <c r="H6" s="19">
        <f t="shared" si="0"/>
        <v>4536000</v>
      </c>
      <c r="I6" s="29">
        <f t="shared" si="1"/>
        <v>0.44444444444444442</v>
      </c>
      <c r="J6" s="29">
        <f t="shared" si="2"/>
        <v>0.10240407770107561</v>
      </c>
      <c r="K6" s="29">
        <f>IFERROR((SUMIFS('Raw Data'!$K$5:$K$292,'Raw Data'!$B$5:$B$292,A6,'Raw Data'!$D$5:$D$292,"December")/SUMIFS('Raw Data'!$K$5:$K$292,'Raw Data'!$B$5:$B$292,A6,'Raw Data'!$D$5:$D$292,"January"))-1,0)</f>
        <v>0.36250000000000004</v>
      </c>
      <c r="L6" s="20">
        <f t="shared" si="3"/>
        <v>5</v>
      </c>
    </row>
    <row r="7" spans="1:12" ht="15" customHeight="1" x14ac:dyDescent="0.3">
      <c r="A7" s="12" t="s">
        <v>102</v>
      </c>
      <c r="B7" s="12" t="str">
        <f>INDEX('Raw Data'!$C$5:$C$292,MATCH(A7,'Raw Data'!$B$5:$B$292,0))</f>
        <v>Accessories</v>
      </c>
      <c r="C7" s="14">
        <f>INDEX('Raw Data'!$F$5:$F$292,MATCH(A7,'Raw Data'!$B$5:$B$292,0))</f>
        <v>4000</v>
      </c>
      <c r="D7" s="14">
        <f>INDEX('Raw Data'!$G$5:$G$292,MATCH(A7,'Raw Data'!$B$5:$B$292,0))</f>
        <v>2200</v>
      </c>
      <c r="E7" s="13">
        <f>SUMIFS('Raw Data'!$E$5:$E$292,'Raw Data'!$B$5:$B$292,A7)</f>
        <v>1659</v>
      </c>
      <c r="F7" s="14">
        <f>SUMIFS('Raw Data'!$K$5:$K$292,'Raw Data'!$B$5:$B$292,A7)</f>
        <v>6636000</v>
      </c>
      <c r="G7" s="14">
        <f>SUMIFS('Raw Data'!$L$5:$L$292,'Raw Data'!$B$5:$B$292,A7)</f>
        <v>3649800</v>
      </c>
      <c r="H7" s="14">
        <f t="shared" si="0"/>
        <v>2986200</v>
      </c>
      <c r="I7" s="30">
        <f t="shared" si="1"/>
        <v>0.45</v>
      </c>
      <c r="J7" s="30">
        <f t="shared" si="2"/>
        <v>6.6583721303580035E-2</v>
      </c>
      <c r="K7" s="30">
        <f>IFERROR((SUMIFS('Raw Data'!$K$5:$K$292,'Raw Data'!$B$5:$B$292,A7,'Raw Data'!$D$5:$D$292,"December")/SUMIFS('Raw Data'!$K$5:$K$292,'Raw Data'!$B$5:$B$292,A7,'Raw Data'!$D$5:$D$292,"January"))-1,0)</f>
        <v>0.40869565217391313</v>
      </c>
      <c r="L7" s="15">
        <f t="shared" si="3"/>
        <v>8</v>
      </c>
    </row>
    <row r="8" spans="1:12" ht="15" customHeight="1" x14ac:dyDescent="0.3">
      <c r="A8" s="17" t="s">
        <v>97</v>
      </c>
      <c r="B8" s="17" t="str">
        <f>INDEX('Raw Data'!$C$5:$C$292,MATCH(A8,'Raw Data'!$B$5:$B$292,0))</f>
        <v>Writing Tools</v>
      </c>
      <c r="C8" s="19">
        <f>INDEX('Raw Data'!$F$5:$F$292,MATCH(A8,'Raw Data'!$B$5:$B$292,0))</f>
        <v>12000</v>
      </c>
      <c r="D8" s="19">
        <f>INDEX('Raw Data'!$G$5:$G$292,MATCH(A8,'Raw Data'!$B$5:$B$292,0))</f>
        <v>7000</v>
      </c>
      <c r="E8" s="18">
        <f>SUMIFS('Raw Data'!$E$5:$E$292,'Raw Data'!$B$5:$B$292,A8)</f>
        <v>942</v>
      </c>
      <c r="F8" s="19">
        <f>SUMIFS('Raw Data'!$K$5:$K$292,'Raw Data'!$B$5:$B$292,A8)</f>
        <v>11304000</v>
      </c>
      <c r="G8" s="19">
        <f>SUMIFS('Raw Data'!$L$5:$L$292,'Raw Data'!$B$5:$B$292,A8)</f>
        <v>6594000</v>
      </c>
      <c r="H8" s="19">
        <f t="shared" si="0"/>
        <v>4710000</v>
      </c>
      <c r="I8" s="29">
        <f t="shared" si="1"/>
        <v>0.41666666666666669</v>
      </c>
      <c r="J8" s="29">
        <f t="shared" si="2"/>
        <v>0.11342109487879275</v>
      </c>
      <c r="K8" s="29">
        <f>IFERROR((SUMIFS('Raw Data'!$K$5:$K$292,'Raw Data'!$B$5:$B$292,A8,'Raw Data'!$D$5:$D$292,"December")/SUMIFS('Raw Data'!$K$5:$K$292,'Raw Data'!$B$5:$B$292,A8,'Raw Data'!$D$5:$D$292,"January"))-1,0)</f>
        <v>0.3787878787878789</v>
      </c>
      <c r="L8" s="20">
        <f t="shared" si="3"/>
        <v>4</v>
      </c>
    </row>
    <row r="9" spans="1:12" ht="15" customHeight="1" x14ac:dyDescent="0.3">
      <c r="A9" s="12" t="s">
        <v>75</v>
      </c>
      <c r="B9" s="12" t="str">
        <f>INDEX('Raw Data'!$C$5:$C$292,MATCH(A9,'Raw Data'!$B$5:$B$292,0))</f>
        <v>Paper Products</v>
      </c>
      <c r="C9" s="14">
        <f>INDEX('Raw Data'!$F$5:$F$292,MATCH(A9,'Raw Data'!$B$5:$B$292,0))</f>
        <v>25000</v>
      </c>
      <c r="D9" s="14">
        <f>INDEX('Raw Data'!$G$5:$G$292,MATCH(A9,'Raw Data'!$B$5:$B$292,0))</f>
        <v>17000</v>
      </c>
      <c r="E9" s="13">
        <f>SUMIFS('Raw Data'!$E$5:$E$292,'Raw Data'!$B$5:$B$292,A9)</f>
        <v>1182</v>
      </c>
      <c r="F9" s="14">
        <f>SUMIFS('Raw Data'!$K$5:$K$292,'Raw Data'!$B$5:$B$292,A9)</f>
        <v>29550000</v>
      </c>
      <c r="G9" s="14">
        <f>SUMIFS('Raw Data'!$L$5:$L$292,'Raw Data'!$B$5:$B$292,A9)</f>
        <v>20094000</v>
      </c>
      <c r="H9" s="14">
        <f t="shared" si="0"/>
        <v>9456000</v>
      </c>
      <c r="I9" s="30">
        <f t="shared" si="1"/>
        <v>0.32</v>
      </c>
      <c r="J9" s="30">
        <f t="shared" si="2"/>
        <v>0.29649622732380798</v>
      </c>
      <c r="K9" s="30">
        <f>IFERROR((SUMIFS('Raw Data'!$K$5:$K$292,'Raw Data'!$B$5:$B$292,A9,'Raw Data'!$D$5:$D$292,"December")/SUMIFS('Raw Data'!$K$5:$K$292,'Raw Data'!$B$5:$B$292,A9,'Raw Data'!$D$5:$D$292,"January"))-1,0)</f>
        <v>0.46249999999999991</v>
      </c>
      <c r="L9" s="15">
        <f t="shared" si="3"/>
        <v>1</v>
      </c>
    </row>
    <row r="10" spans="1:12" ht="15" customHeight="1" x14ac:dyDescent="0.3">
      <c r="A10" s="17" t="s">
        <v>101</v>
      </c>
      <c r="B10" s="17" t="str">
        <f>INDEX('Raw Data'!$C$5:$C$292,MATCH(A10,'Raw Data'!$B$5:$B$292,0))</f>
        <v>Writing Tools</v>
      </c>
      <c r="C10" s="19">
        <f>INDEX('Raw Data'!$F$5:$F$292,MATCH(A10,'Raw Data'!$B$5:$B$292,0))</f>
        <v>3000</v>
      </c>
      <c r="D10" s="19">
        <f>INDEX('Raw Data'!$G$5:$G$292,MATCH(A10,'Raw Data'!$B$5:$B$292,0))</f>
        <v>1800</v>
      </c>
      <c r="E10" s="18">
        <f>SUMIFS('Raw Data'!$E$5:$E$292,'Raw Data'!$B$5:$B$292,A10)</f>
        <v>2598</v>
      </c>
      <c r="F10" s="19">
        <f>SUMIFS('Raw Data'!$K$5:$K$292,'Raw Data'!$B$5:$B$292,A10)</f>
        <v>7794000</v>
      </c>
      <c r="G10" s="19">
        <f>SUMIFS('Raw Data'!$L$5:$L$292,'Raw Data'!$B$5:$B$292,A10)</f>
        <v>4676400</v>
      </c>
      <c r="H10" s="19">
        <f t="shared" si="0"/>
        <v>3117600</v>
      </c>
      <c r="I10" s="29">
        <f t="shared" si="1"/>
        <v>0.4</v>
      </c>
      <c r="J10" s="29">
        <f t="shared" si="2"/>
        <v>7.8202761277893718E-2</v>
      </c>
      <c r="K10" s="29">
        <f>IFERROR((SUMIFS('Raw Data'!$K$5:$K$292,'Raw Data'!$B$5:$B$292,A10,'Raw Data'!$D$5:$D$292,"December")/SUMIFS('Raw Data'!$K$5:$K$292,'Raw Data'!$B$5:$B$292,A10,'Raw Data'!$D$5:$D$292,"January"))-1,0)</f>
        <v>0.33695652173913038</v>
      </c>
      <c r="L10" s="20">
        <f t="shared" si="3"/>
        <v>6</v>
      </c>
    </row>
    <row r="11" spans="1:12" ht="15" customHeight="1" x14ac:dyDescent="0.3">
      <c r="A11" s="12" t="s">
        <v>100</v>
      </c>
      <c r="B11" s="12" t="str">
        <f>INDEX('Raw Data'!$C$5:$C$292,MATCH(A11,'Raw Data'!$B$5:$B$292,0))</f>
        <v>Accessories</v>
      </c>
      <c r="C11" s="14">
        <f>INDEX('Raw Data'!$F$5:$F$292,MATCH(A11,'Raw Data'!$B$5:$B$292,0))</f>
        <v>7000</v>
      </c>
      <c r="D11" s="14">
        <f>INDEX('Raw Data'!$G$5:$G$292,MATCH(A11,'Raw Data'!$B$5:$B$292,0))</f>
        <v>4000</v>
      </c>
      <c r="E11" s="13">
        <f>SUMIFS('Raw Data'!$E$5:$E$292,'Raw Data'!$B$5:$B$292,A11)</f>
        <v>1037</v>
      </c>
      <c r="F11" s="14">
        <f>SUMIFS('Raw Data'!$K$5:$K$292,'Raw Data'!$B$5:$B$292,A11)</f>
        <v>7259000</v>
      </c>
      <c r="G11" s="14">
        <f>SUMIFS('Raw Data'!$L$5:$L$292,'Raw Data'!$B$5:$B$292,A11)</f>
        <v>4148000</v>
      </c>
      <c r="H11" s="14">
        <f t="shared" si="0"/>
        <v>3111000</v>
      </c>
      <c r="I11" s="30">
        <f t="shared" si="1"/>
        <v>0.42857142857142855</v>
      </c>
      <c r="J11" s="30">
        <f t="shared" si="2"/>
        <v>7.2834724674907689E-2</v>
      </c>
      <c r="K11" s="30">
        <f>IFERROR((SUMIFS('Raw Data'!$K$5:$K$292,'Raw Data'!$B$5:$B$292,A11,'Raw Data'!$D$5:$D$292,"December")/SUMIFS('Raw Data'!$K$5:$K$292,'Raw Data'!$B$5:$B$292,A11,'Raw Data'!$D$5:$D$292,"January"))-1,0)</f>
        <v>0.45070422535211274</v>
      </c>
      <c r="L11" s="15">
        <f t="shared" si="3"/>
        <v>7</v>
      </c>
    </row>
    <row r="12" spans="1:12" ht="15" customHeight="1" x14ac:dyDescent="0.3">
      <c r="A12" s="17" t="s">
        <v>96</v>
      </c>
      <c r="B12" s="17" t="str">
        <f>INDEX('Raw Data'!$C$5:$C$292,MATCH(A12,'Raw Data'!$B$5:$B$292,0))</f>
        <v>Paper Products</v>
      </c>
      <c r="C12" s="19">
        <f>INDEX('Raw Data'!$F$5:$F$292,MATCH(A12,'Raw Data'!$B$5:$B$292,0))</f>
        <v>15000</v>
      </c>
      <c r="D12" s="19">
        <f>INDEX('Raw Data'!$G$5:$G$292,MATCH(A12,'Raw Data'!$B$5:$B$292,0))</f>
        <v>9000</v>
      </c>
      <c r="E12" s="18">
        <f>SUMIFS('Raw Data'!$E$5:$E$292,'Raw Data'!$B$5:$B$292,A12)</f>
        <v>850</v>
      </c>
      <c r="F12" s="19">
        <f>SUMIFS('Raw Data'!$K$5:$K$292,'Raw Data'!$B$5:$B$292,A12)</f>
        <v>12750000</v>
      </c>
      <c r="G12" s="19">
        <f>SUMIFS('Raw Data'!$L$5:$L$292,'Raw Data'!$B$5:$B$292,A12)</f>
        <v>7650000</v>
      </c>
      <c r="H12" s="19">
        <f t="shared" si="0"/>
        <v>5100000</v>
      </c>
      <c r="I12" s="29">
        <f t="shared" si="1"/>
        <v>0.4</v>
      </c>
      <c r="J12" s="29">
        <f t="shared" si="2"/>
        <v>0.12792984427676996</v>
      </c>
      <c r="K12" s="29">
        <f>IFERROR((SUMIFS('Raw Data'!$K$5:$K$292,'Raw Data'!$B$5:$B$292,A12,'Raw Data'!$D$5:$D$292,"December")/SUMIFS('Raw Data'!$K$5:$K$292,'Raw Data'!$B$5:$B$292,A12,'Raw Data'!$D$5:$D$292,"January"))-1,0)</f>
        <v>0.40677966101694918</v>
      </c>
      <c r="L12" s="20">
        <f t="shared" si="3"/>
        <v>3</v>
      </c>
    </row>
  </sheetData>
  <sheetProtection sheet="1" objects="1" scenarios="1"/>
  <mergeCells count="2">
    <mergeCell ref="A1:L1"/>
    <mergeCell ref="A2:L3"/>
  </mergeCells>
  <conditionalFormatting sqref="F5:F12">
    <cfRule type="colorScale" priority="2">
      <colorScale>
        <cfvo type="min"/>
        <cfvo type="max"/>
        <color rgb="FFFFFFFF"/>
        <color rgb="FFBDD7EE"/>
      </colorScale>
    </cfRule>
  </conditionalFormatting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5"/>
  <sheetViews>
    <sheetView showGridLines="0" topLeftCell="A5" zoomScaleNormal="100" workbookViewId="0">
      <selection activeCell="A2" sqref="A2:F3"/>
    </sheetView>
  </sheetViews>
  <sheetFormatPr defaultColWidth="8.6640625" defaultRowHeight="14.4" x14ac:dyDescent="0.3"/>
  <cols>
    <col min="1" max="1" width="16" customWidth="1"/>
    <col min="2" max="2" width="16" style="9" customWidth="1"/>
    <col min="3" max="3" width="16.109375" customWidth="1"/>
    <col min="4" max="4" width="16" style="31" customWidth="1"/>
    <col min="5" max="5" width="16.109375" customWidth="1"/>
    <col min="6" max="6" width="13" customWidth="1"/>
    <col min="7" max="8" width="16" customWidth="1"/>
  </cols>
  <sheetData>
    <row r="1" spans="1:13" ht="27.75" customHeight="1" x14ac:dyDescent="0.3">
      <c r="A1" s="92" t="s">
        <v>121</v>
      </c>
      <c r="B1" s="92"/>
      <c r="C1" s="92"/>
      <c r="D1" s="92"/>
      <c r="E1" s="92"/>
      <c r="F1" s="92"/>
      <c r="G1" s="32"/>
      <c r="H1" s="32"/>
    </row>
    <row r="2" spans="1:13" ht="15" customHeight="1" x14ac:dyDescent="0.3">
      <c r="A2" s="129" t="s">
        <v>122</v>
      </c>
      <c r="B2" s="129"/>
      <c r="C2" s="129"/>
      <c r="D2" s="129"/>
      <c r="E2" s="129"/>
      <c r="F2" s="129"/>
      <c r="G2" s="33"/>
      <c r="H2" s="33"/>
    </row>
    <row r="3" spans="1:13" x14ac:dyDescent="0.3">
      <c r="A3" s="130"/>
      <c r="B3" s="130"/>
      <c r="C3" s="130"/>
      <c r="D3" s="130"/>
      <c r="E3" s="130"/>
      <c r="F3" s="130"/>
    </row>
    <row r="4" spans="1:13" ht="21" customHeight="1" x14ac:dyDescent="0.3">
      <c r="A4" s="133" t="s">
        <v>123</v>
      </c>
      <c r="B4" s="133"/>
      <c r="C4" s="133"/>
      <c r="D4" s="133"/>
      <c r="E4" s="133"/>
      <c r="F4" s="133"/>
      <c r="I4" s="34"/>
      <c r="J4" s="35"/>
      <c r="K4" s="35"/>
      <c r="L4" s="36"/>
    </row>
    <row r="5" spans="1:13" ht="21" customHeight="1" x14ac:dyDescent="0.3">
      <c r="A5" s="37" t="s">
        <v>14</v>
      </c>
      <c r="B5" s="38" t="s">
        <v>70</v>
      </c>
      <c r="C5" s="37" t="s">
        <v>64</v>
      </c>
      <c r="D5" s="39" t="s">
        <v>72</v>
      </c>
      <c r="E5" s="40" t="s">
        <v>117</v>
      </c>
      <c r="F5" s="40" t="s">
        <v>120</v>
      </c>
      <c r="I5" s="41"/>
      <c r="L5" s="42"/>
    </row>
    <row r="6" spans="1:13" ht="15" customHeight="1" x14ac:dyDescent="0.3">
      <c r="A6" s="43" t="s">
        <v>74</v>
      </c>
      <c r="B6" s="44">
        <f>SUMIFS('Raw Data'!$K$5:$K$292,'Raw Data'!$A$5:$A$292,A6)</f>
        <v>33140000</v>
      </c>
      <c r="C6" s="45">
        <f>SUMIFS('Raw Data'!$E$5:$E$292,'Raw Data'!$A$5:$A$292,A6)</f>
        <v>4072</v>
      </c>
      <c r="D6" s="46">
        <f>SUMIFS('Raw Data'!$M$5:$M$292,'Raw Data'!$A$5:$A$292,A6)</f>
        <v>12865400</v>
      </c>
      <c r="E6" s="47">
        <f>IFERROR(D6/B6,0)</f>
        <v>0.38821363910681955</v>
      </c>
      <c r="F6" s="48">
        <f>RANK(B6,$B$6:$B$8,0)</f>
        <v>2</v>
      </c>
      <c r="I6" s="41"/>
      <c r="L6" s="42"/>
    </row>
    <row r="7" spans="1:13" ht="15" customHeight="1" x14ac:dyDescent="0.3">
      <c r="A7" s="24" t="s">
        <v>103</v>
      </c>
      <c r="B7" s="25">
        <f>SUMIFS('Raw Data'!$K$5:$K$292,'Raw Data'!$A$5:$A$292,A7)</f>
        <v>40817000</v>
      </c>
      <c r="C7" s="26">
        <f>SUMIFS('Raw Data'!$E$5:$E$292,'Raw Data'!$A$5:$A$292,A7)</f>
        <v>5011</v>
      </c>
      <c r="D7" s="49">
        <f>SUMIFS('Raw Data'!$M$5:$M$292,'Raw Data'!$A$5:$A$292,A7)</f>
        <v>15841800</v>
      </c>
      <c r="E7" s="50">
        <f>IFERROR(D7/B7,0)</f>
        <v>0.38811769605801505</v>
      </c>
      <c r="F7" s="15">
        <f>RANK(B7,$B$6:$B$8,0)</f>
        <v>1</v>
      </c>
      <c r="I7" s="41"/>
      <c r="L7" s="42"/>
    </row>
    <row r="8" spans="1:13" ht="15" customHeight="1" x14ac:dyDescent="0.3">
      <c r="A8" s="51" t="s">
        <v>109</v>
      </c>
      <c r="B8" s="52">
        <f>SUMIFS('Raw Data'!$K$5:$K$292,'Raw Data'!$A$5:$A$292,A8)</f>
        <v>25707000</v>
      </c>
      <c r="C8" s="53">
        <f>SUMIFS('Raw Data'!$E$5:$E$292,'Raw Data'!$A$5:$A$292,A8)</f>
        <v>3152</v>
      </c>
      <c r="D8" s="54">
        <f>SUMIFS('Raw Data'!$M$5:$M$292,'Raw Data'!$A$5:$A$292,A8)</f>
        <v>9975600</v>
      </c>
      <c r="E8" s="55">
        <f>IFERROR(D8/B8,0)</f>
        <v>0.38804994748512078</v>
      </c>
      <c r="F8" s="56">
        <f>RANK(B8,$B$6:$B$8,0)</f>
        <v>3</v>
      </c>
      <c r="I8" s="41"/>
      <c r="L8" s="42"/>
    </row>
    <row r="9" spans="1:13" ht="14.25" customHeight="1" x14ac:dyDescent="0.3">
      <c r="I9" s="41"/>
      <c r="L9" s="42"/>
      <c r="M9" s="41"/>
    </row>
    <row r="10" spans="1:13" ht="14.25" customHeight="1" x14ac:dyDescent="0.3">
      <c r="I10" s="41"/>
      <c r="L10" s="42"/>
    </row>
    <row r="11" spans="1:13" ht="21" customHeight="1" x14ac:dyDescent="0.3">
      <c r="A11" s="134" t="s">
        <v>124</v>
      </c>
      <c r="B11" s="134"/>
      <c r="C11" s="134"/>
      <c r="D11" s="134"/>
      <c r="E11" s="134"/>
      <c r="F11" s="134"/>
      <c r="G11" s="57"/>
      <c r="H11" s="57"/>
      <c r="I11" s="41"/>
      <c r="L11" s="42"/>
    </row>
    <row r="12" spans="1:13" ht="21" customHeight="1" x14ac:dyDescent="0.3">
      <c r="A12" s="58" t="s">
        <v>14</v>
      </c>
      <c r="B12" s="59" t="s">
        <v>76</v>
      </c>
      <c r="C12" s="59" t="s">
        <v>95</v>
      </c>
      <c r="D12" s="59" t="s">
        <v>99</v>
      </c>
      <c r="E12" s="59" t="s">
        <v>125</v>
      </c>
      <c r="F12" s="58" t="s">
        <v>126</v>
      </c>
      <c r="I12" s="60"/>
      <c r="J12" s="5"/>
      <c r="K12" s="5"/>
      <c r="L12" s="61"/>
    </row>
    <row r="13" spans="1:13" ht="15" customHeight="1" x14ac:dyDescent="0.3">
      <c r="A13" s="62" t="s">
        <v>74</v>
      </c>
      <c r="B13" s="63">
        <f>SUMIFS('Raw Data'!$K$5:$K$292,'Raw Data'!$A$5:$A$292,$A13,'Raw Data'!$C$5:$C$292,B$12)</f>
        <v>14030000</v>
      </c>
      <c r="C13" s="63">
        <f>SUMIFS('Raw Data'!$K$5:$K$292,'Raw Data'!$A$5:$A$292,$A13,'Raw Data'!$C$5:$C$292,C$12)</f>
        <v>11095000</v>
      </c>
      <c r="D13" s="63">
        <f>SUMIFS('Raw Data'!$K$5:$K$292,'Raw Data'!$A$5:$A$292,$A13,'Raw Data'!$C$5:$C$292,D$12)</f>
        <v>8015000</v>
      </c>
      <c r="E13" s="63">
        <f>SUM(B13:D13)</f>
        <v>33140000</v>
      </c>
      <c r="F13" s="64">
        <f>IFERROR(E13/SUM($E$13:$E$15),0)</f>
        <v>0.33251725798683579</v>
      </c>
    </row>
    <row r="14" spans="1:13" ht="15" customHeight="1" x14ac:dyDescent="0.3">
      <c r="A14" s="65" t="s">
        <v>103</v>
      </c>
      <c r="B14" s="66">
        <f>SUMIFS('Raw Data'!$K$5:$K$292,'Raw Data'!$A$5:$A$292,$A14,'Raw Data'!$C$5:$C$292,B$12)</f>
        <v>17350000</v>
      </c>
      <c r="C14" s="66">
        <f>SUMIFS('Raw Data'!$K$5:$K$292,'Raw Data'!$A$5:$A$292,$A14,'Raw Data'!$C$5:$C$292,C$12)</f>
        <v>13605000</v>
      </c>
      <c r="D14" s="66">
        <f>SUMIFS('Raw Data'!$K$5:$K$292,'Raw Data'!$A$5:$A$292,$A14,'Raw Data'!$C$5:$C$292,D$12)</f>
        <v>9862000</v>
      </c>
      <c r="E14" s="66">
        <f>SUM(B14:D14)</f>
        <v>40817000</v>
      </c>
      <c r="F14" s="67">
        <f>IFERROR(E14/SUM($E$13:$E$15),0)</f>
        <v>0.40954607481136618</v>
      </c>
    </row>
    <row r="15" spans="1:13" ht="15" customHeight="1" x14ac:dyDescent="0.3">
      <c r="A15" s="68" t="s">
        <v>109</v>
      </c>
      <c r="B15" s="25">
        <f>SUMIFS('Raw Data'!$K$5:$K$292,'Raw Data'!$A$5:$A$292,$A15,'Raw Data'!$C$5:$C$292,B$12)</f>
        <v>10920000</v>
      </c>
      <c r="C15" s="25">
        <f>SUMIFS('Raw Data'!$K$5:$K$292,'Raw Data'!$A$5:$A$292,$A15,'Raw Data'!$C$5:$C$292,C$12)</f>
        <v>8563000</v>
      </c>
      <c r="D15" s="25">
        <f>SUMIFS('Raw Data'!$K$5:$K$292,'Raw Data'!$A$5:$A$292,$A15,'Raw Data'!$C$5:$C$292,D$12)</f>
        <v>6224000</v>
      </c>
      <c r="E15" s="25">
        <f>SUM(B15:D15)</f>
        <v>25707000</v>
      </c>
      <c r="F15" s="69">
        <f>IFERROR(E15/SUM($E$13:$E$15),0)</f>
        <v>0.25793666720179803</v>
      </c>
    </row>
  </sheetData>
  <sheetProtection sheet="1" objects="1" scenarios="1"/>
  <mergeCells count="4">
    <mergeCell ref="A1:F1"/>
    <mergeCell ref="A4:F4"/>
    <mergeCell ref="A11:F11"/>
    <mergeCell ref="A2:F3"/>
  </mergeCells>
  <conditionalFormatting sqref="B6:B8">
    <cfRule type="colorScale" priority="2">
      <colorScale>
        <cfvo type="min"/>
        <cfvo type="max"/>
        <color rgb="FFFFFFFF"/>
        <color rgb="FFBDD7EE"/>
      </colorScale>
    </cfRule>
  </conditionalFormatting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6"/>
  <sheetViews>
    <sheetView showGridLines="0" zoomScaleNormal="100" workbookViewId="0">
      <selection activeCell="A2" sqref="A2:H3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4" customWidth="1"/>
    <col min="4" max="5" width="16" customWidth="1"/>
    <col min="6" max="8" width="13" customWidth="1"/>
  </cols>
  <sheetData>
    <row r="1" spans="1:8" ht="27.75" customHeight="1" x14ac:dyDescent="0.3">
      <c r="A1" s="92" t="s">
        <v>127</v>
      </c>
      <c r="B1" s="92"/>
      <c r="C1" s="92"/>
      <c r="D1" s="92"/>
      <c r="E1" s="92"/>
      <c r="F1" s="92"/>
      <c r="G1" s="92"/>
      <c r="H1" s="92"/>
    </row>
    <row r="2" spans="1:8" ht="15" customHeight="1" x14ac:dyDescent="0.3">
      <c r="A2" s="129" t="s">
        <v>128</v>
      </c>
      <c r="B2" s="129"/>
      <c r="C2" s="129"/>
      <c r="D2" s="129"/>
      <c r="E2" s="129"/>
      <c r="F2" s="129"/>
      <c r="G2" s="129"/>
      <c r="H2" s="129"/>
    </row>
    <row r="3" spans="1:8" x14ac:dyDescent="0.3">
      <c r="A3" s="130"/>
      <c r="B3" s="130"/>
      <c r="C3" s="130"/>
      <c r="D3" s="130"/>
      <c r="E3" s="130"/>
      <c r="F3" s="130"/>
      <c r="G3" s="130"/>
      <c r="H3" s="130"/>
    </row>
    <row r="4" spans="1:8" ht="21" customHeight="1" x14ac:dyDescent="0.3">
      <c r="A4" s="10" t="s">
        <v>63</v>
      </c>
      <c r="B4" s="11" t="s">
        <v>70</v>
      </c>
      <c r="C4" s="10" t="s">
        <v>64</v>
      </c>
      <c r="D4" s="11" t="s">
        <v>71</v>
      </c>
      <c r="E4" s="11" t="s">
        <v>72</v>
      </c>
      <c r="F4" s="10" t="s">
        <v>117</v>
      </c>
      <c r="G4" s="10" t="s">
        <v>129</v>
      </c>
      <c r="H4" s="10" t="s">
        <v>130</v>
      </c>
    </row>
    <row r="5" spans="1:8" ht="15" customHeight="1" x14ac:dyDescent="0.3">
      <c r="A5" s="24" t="s">
        <v>77</v>
      </c>
      <c r="B5" s="70">
        <f>SUMIFS('Raw Data'!$K$5:$K$292,'Raw Data'!$D$5:$D$292,A5)</f>
        <v>6906000</v>
      </c>
      <c r="C5" s="26">
        <f>SUMIFS('Raw Data'!$E$5:$E$292,'Raw Data'!$D$5:$D$292,A5)</f>
        <v>855</v>
      </c>
      <c r="D5" s="70">
        <f>SUMIFS('Raw Data'!$L$5:$L$292,'Raw Data'!$D$5:$D$292,A5)</f>
        <v>4221200</v>
      </c>
      <c r="E5" s="70">
        <f>SUMIFS('Raw Data'!$M$5:$M$292,'Raw Data'!$D$5:$D$292,A5)</f>
        <v>2684800</v>
      </c>
      <c r="F5" s="27">
        <f t="shared" ref="F5:F16" si="0">IFERROR(E5/B5,0)</f>
        <v>0.38876339415001449</v>
      </c>
      <c r="G5" s="27" t="s">
        <v>131</v>
      </c>
      <c r="H5" s="71">
        <f t="shared" ref="H5:H16" si="1">IFERROR(B5/$B$5,0)</f>
        <v>1</v>
      </c>
    </row>
    <row r="6" spans="1:8" ht="15" customHeight="1" x14ac:dyDescent="0.3">
      <c r="A6" s="17" t="s">
        <v>80</v>
      </c>
      <c r="B6" s="72">
        <f>SUMIFS('Raw Data'!$K$5:$K$292,'Raw Data'!$D$5:$D$292,A6)</f>
        <v>7224000</v>
      </c>
      <c r="C6" s="18">
        <f>SUMIFS('Raw Data'!$E$5:$E$292,'Raw Data'!$D$5:$D$292,A6)</f>
        <v>880</v>
      </c>
      <c r="D6" s="72">
        <f>SUMIFS('Raw Data'!$L$5:$L$292,'Raw Data'!$D$5:$D$292,A6)</f>
        <v>4422800</v>
      </c>
      <c r="E6" s="72">
        <f>SUMIFS('Raw Data'!$M$5:$M$292,'Raw Data'!$D$5:$D$292,A6)</f>
        <v>2801200</v>
      </c>
      <c r="F6" s="29">
        <f t="shared" si="0"/>
        <v>0.38776301218161685</v>
      </c>
      <c r="G6" s="29">
        <f t="shared" ref="G6:G16" si="2">IFERROR(B6/B5-1,0)</f>
        <v>4.6046915725456161E-2</v>
      </c>
      <c r="H6" s="73">
        <f t="shared" si="1"/>
        <v>1.0460469157254562</v>
      </c>
    </row>
    <row r="7" spans="1:8" ht="15" customHeight="1" x14ac:dyDescent="0.3">
      <c r="A7" s="12" t="s">
        <v>83</v>
      </c>
      <c r="B7" s="74">
        <f>SUMIFS('Raw Data'!$K$5:$K$292,'Raw Data'!$D$5:$D$292,A7)</f>
        <v>7440000</v>
      </c>
      <c r="C7" s="13">
        <f>SUMIFS('Raw Data'!$E$5:$E$292,'Raw Data'!$D$5:$D$292,A7)</f>
        <v>919</v>
      </c>
      <c r="D7" s="74">
        <f>SUMIFS('Raw Data'!$L$5:$L$292,'Raw Data'!$D$5:$D$292,A7)</f>
        <v>4551800</v>
      </c>
      <c r="E7" s="74">
        <f>SUMIFS('Raw Data'!$M$5:$M$292,'Raw Data'!$D$5:$D$292,A7)</f>
        <v>2888200</v>
      </c>
      <c r="F7" s="30">
        <f t="shared" si="0"/>
        <v>0.38819892473118278</v>
      </c>
      <c r="G7" s="30">
        <f t="shared" si="2"/>
        <v>2.9900332225913706E-2</v>
      </c>
      <c r="H7" s="75">
        <f t="shared" si="1"/>
        <v>1.0773240660295396</v>
      </c>
    </row>
    <row r="8" spans="1:8" ht="15" customHeight="1" x14ac:dyDescent="0.3">
      <c r="A8" s="17" t="s">
        <v>85</v>
      </c>
      <c r="B8" s="72">
        <f>SUMIFS('Raw Data'!$K$5:$K$292,'Raw Data'!$D$5:$D$292,A8)</f>
        <v>7698000</v>
      </c>
      <c r="C8" s="18">
        <f>SUMIFS('Raw Data'!$E$5:$E$292,'Raw Data'!$D$5:$D$292,A8)</f>
        <v>945</v>
      </c>
      <c r="D8" s="72">
        <f>SUMIFS('Raw Data'!$L$5:$L$292,'Raw Data'!$D$5:$D$292,A8)</f>
        <v>4709000</v>
      </c>
      <c r="E8" s="72">
        <f>SUMIFS('Raw Data'!$M$5:$M$292,'Raw Data'!$D$5:$D$292,A8)</f>
        <v>2989000</v>
      </c>
      <c r="F8" s="29">
        <f t="shared" si="0"/>
        <v>0.38828267082359053</v>
      </c>
      <c r="G8" s="29">
        <f t="shared" si="2"/>
        <v>3.4677419354838701E-2</v>
      </c>
      <c r="H8" s="73">
        <f t="shared" si="1"/>
        <v>1.1146828844483059</v>
      </c>
    </row>
    <row r="9" spans="1:8" ht="15" customHeight="1" x14ac:dyDescent="0.3">
      <c r="A9" s="12" t="s">
        <v>86</v>
      </c>
      <c r="B9" s="74">
        <f>SUMIFS('Raw Data'!$K$5:$K$292,'Raw Data'!$D$5:$D$292,A9)</f>
        <v>7935000</v>
      </c>
      <c r="C9" s="13">
        <f>SUMIFS('Raw Data'!$E$5:$E$292,'Raw Data'!$D$5:$D$292,A9)</f>
        <v>972</v>
      </c>
      <c r="D9" s="74">
        <f>SUMIFS('Raw Data'!$L$5:$L$292,'Raw Data'!$D$5:$D$292,A9)</f>
        <v>4857800</v>
      </c>
      <c r="E9" s="74">
        <f>SUMIFS('Raw Data'!$M$5:$M$292,'Raw Data'!$D$5:$D$292,A9)</f>
        <v>3077200</v>
      </c>
      <c r="F9" s="30">
        <f t="shared" si="0"/>
        <v>0.38780088216761183</v>
      </c>
      <c r="G9" s="30">
        <f t="shared" si="2"/>
        <v>3.0787217459080196E-2</v>
      </c>
      <c r="H9" s="75">
        <f t="shared" si="1"/>
        <v>1.1490008688097306</v>
      </c>
    </row>
    <row r="10" spans="1:8" ht="15" customHeight="1" x14ac:dyDescent="0.3">
      <c r="A10" s="17" t="s">
        <v>87</v>
      </c>
      <c r="B10" s="72">
        <f>SUMIFS('Raw Data'!$K$5:$K$292,'Raw Data'!$D$5:$D$292,A10)</f>
        <v>8160000</v>
      </c>
      <c r="C10" s="18">
        <f>SUMIFS('Raw Data'!$E$5:$E$292,'Raw Data'!$D$5:$D$292,A10)</f>
        <v>1009</v>
      </c>
      <c r="D10" s="72">
        <f>SUMIFS('Raw Data'!$L$5:$L$292,'Raw Data'!$D$5:$D$292,A10)</f>
        <v>4988800</v>
      </c>
      <c r="E10" s="72">
        <f>SUMIFS('Raw Data'!$M$5:$M$292,'Raw Data'!$D$5:$D$292,A10)</f>
        <v>3171200</v>
      </c>
      <c r="F10" s="29">
        <f t="shared" si="0"/>
        <v>0.38862745098039214</v>
      </c>
      <c r="G10" s="29">
        <f t="shared" si="2"/>
        <v>2.8355387523629538E-2</v>
      </c>
      <c r="H10" s="73">
        <f t="shared" si="1"/>
        <v>1.1815812337098175</v>
      </c>
    </row>
    <row r="11" spans="1:8" ht="15" customHeight="1" x14ac:dyDescent="0.3">
      <c r="A11" s="12" t="s">
        <v>88</v>
      </c>
      <c r="B11" s="74">
        <f>SUMIFS('Raw Data'!$K$5:$K$292,'Raw Data'!$D$5:$D$292,A11)</f>
        <v>8478000</v>
      </c>
      <c r="C11" s="13">
        <f>SUMIFS('Raw Data'!$E$5:$E$292,'Raw Data'!$D$5:$D$292,A11)</f>
        <v>1032</v>
      </c>
      <c r="D11" s="74">
        <f>SUMIFS('Raw Data'!$L$5:$L$292,'Raw Data'!$D$5:$D$292,A11)</f>
        <v>5190400</v>
      </c>
      <c r="E11" s="74">
        <f>SUMIFS('Raw Data'!$M$5:$M$292,'Raw Data'!$D$5:$D$292,A11)</f>
        <v>3287600</v>
      </c>
      <c r="F11" s="30">
        <f t="shared" si="0"/>
        <v>0.38778013682472279</v>
      </c>
      <c r="G11" s="30">
        <f t="shared" si="2"/>
        <v>3.8970588235294201E-2</v>
      </c>
      <c r="H11" s="75">
        <f t="shared" si="1"/>
        <v>1.2276281494352737</v>
      </c>
    </row>
    <row r="12" spans="1:8" ht="15" customHeight="1" x14ac:dyDescent="0.3">
      <c r="A12" s="17" t="s">
        <v>89</v>
      </c>
      <c r="B12" s="72">
        <f>SUMIFS('Raw Data'!$K$5:$K$292,'Raw Data'!$D$5:$D$292,A12)</f>
        <v>8655000</v>
      </c>
      <c r="C12" s="18">
        <f>SUMIFS('Raw Data'!$E$5:$E$292,'Raw Data'!$D$5:$D$292,A12)</f>
        <v>1067</v>
      </c>
      <c r="D12" s="72">
        <f>SUMIFS('Raw Data'!$L$5:$L$292,'Raw Data'!$D$5:$D$292,A12)</f>
        <v>5295200</v>
      </c>
      <c r="E12" s="72">
        <f>SUMIFS('Raw Data'!$M$5:$M$292,'Raw Data'!$D$5:$D$292,A12)</f>
        <v>3359800</v>
      </c>
      <c r="F12" s="29">
        <f t="shared" si="0"/>
        <v>0.38819179664933562</v>
      </c>
      <c r="G12" s="29">
        <f t="shared" si="2"/>
        <v>2.0877565463552683E-2</v>
      </c>
      <c r="H12" s="73">
        <f t="shared" si="1"/>
        <v>1.2532580364900088</v>
      </c>
    </row>
    <row r="13" spans="1:8" ht="15" customHeight="1" x14ac:dyDescent="0.3">
      <c r="A13" s="12" t="s">
        <v>90</v>
      </c>
      <c r="B13" s="74">
        <f>SUMIFS('Raw Data'!$K$5:$K$292,'Raw Data'!$D$5:$D$292,A13)</f>
        <v>8895000</v>
      </c>
      <c r="C13" s="13">
        <f>SUMIFS('Raw Data'!$E$5:$E$292,'Raw Data'!$D$5:$D$292,A13)</f>
        <v>1093</v>
      </c>
      <c r="D13" s="74">
        <f>SUMIFS('Raw Data'!$L$5:$L$292,'Raw Data'!$D$5:$D$292,A13)</f>
        <v>5441000</v>
      </c>
      <c r="E13" s="74">
        <f>SUMIFS('Raw Data'!$M$5:$M$292,'Raw Data'!$D$5:$D$292,A13)</f>
        <v>3454000</v>
      </c>
      <c r="F13" s="30">
        <f t="shared" si="0"/>
        <v>0.38830803822372117</v>
      </c>
      <c r="G13" s="30">
        <f t="shared" si="2"/>
        <v>2.7729636048526851E-2</v>
      </c>
      <c r="H13" s="75">
        <f t="shared" si="1"/>
        <v>1.2880104257167679</v>
      </c>
    </row>
    <row r="14" spans="1:8" ht="15" customHeight="1" x14ac:dyDescent="0.3">
      <c r="A14" s="17" t="s">
        <v>91</v>
      </c>
      <c r="B14" s="72">
        <f>SUMIFS('Raw Data'!$K$5:$K$292,'Raw Data'!$D$5:$D$292,A14)</f>
        <v>9194000</v>
      </c>
      <c r="C14" s="18">
        <f>SUMIFS('Raw Data'!$E$5:$E$292,'Raw Data'!$D$5:$D$292,A14)</f>
        <v>1125</v>
      </c>
      <c r="D14" s="72">
        <f>SUMIFS('Raw Data'!$L$5:$L$292,'Raw Data'!$D$5:$D$292,A14)</f>
        <v>5628400</v>
      </c>
      <c r="E14" s="72">
        <f>SUMIFS('Raw Data'!$M$5:$M$292,'Raw Data'!$D$5:$D$292,A14)</f>
        <v>3565600</v>
      </c>
      <c r="F14" s="29">
        <f t="shared" si="0"/>
        <v>0.3878181422666957</v>
      </c>
      <c r="G14" s="29">
        <f t="shared" si="2"/>
        <v>3.3614390106801562E-2</v>
      </c>
      <c r="H14" s="73">
        <f t="shared" si="1"/>
        <v>1.331306110628439</v>
      </c>
    </row>
    <row r="15" spans="1:8" ht="15" customHeight="1" x14ac:dyDescent="0.3">
      <c r="A15" s="12" t="s">
        <v>92</v>
      </c>
      <c r="B15" s="74">
        <f>SUMIFS('Raw Data'!$K$5:$K$292,'Raw Data'!$D$5:$D$292,A15)</f>
        <v>9384000</v>
      </c>
      <c r="C15" s="13">
        <f>SUMIFS('Raw Data'!$E$5:$E$292,'Raw Data'!$D$5:$D$292,A15)</f>
        <v>1158</v>
      </c>
      <c r="D15" s="74">
        <f>SUMIFS('Raw Data'!$L$5:$L$292,'Raw Data'!$D$5:$D$292,A15)</f>
        <v>5738600</v>
      </c>
      <c r="E15" s="74">
        <f>SUMIFS('Raw Data'!$M$5:$M$292,'Raw Data'!$D$5:$D$292,A15)</f>
        <v>3645400</v>
      </c>
      <c r="F15" s="30">
        <f t="shared" si="0"/>
        <v>0.38846973572037513</v>
      </c>
      <c r="G15" s="30">
        <f t="shared" si="2"/>
        <v>2.066565151185551E-2</v>
      </c>
      <c r="H15" s="75">
        <f t="shared" si="1"/>
        <v>1.3588184187662902</v>
      </c>
    </row>
    <row r="16" spans="1:8" ht="15" customHeight="1" x14ac:dyDescent="0.3">
      <c r="A16" s="17" t="s">
        <v>93</v>
      </c>
      <c r="B16" s="72">
        <f>SUMIFS('Raw Data'!$K$5:$K$292,'Raw Data'!$D$5:$D$292,A16)</f>
        <v>9695000</v>
      </c>
      <c r="C16" s="18">
        <f>SUMIFS('Raw Data'!$E$5:$E$292,'Raw Data'!$D$5:$D$292,A16)</f>
        <v>1180</v>
      </c>
      <c r="D16" s="72">
        <f>SUMIFS('Raw Data'!$L$5:$L$292,'Raw Data'!$D$5:$D$292,A16)</f>
        <v>5936200</v>
      </c>
      <c r="E16" s="72">
        <f>SUMIFS('Raw Data'!$M$5:$M$292,'Raw Data'!$D$5:$D$292,A16)</f>
        <v>3758800</v>
      </c>
      <c r="F16" s="29">
        <f t="shared" si="0"/>
        <v>0.38770500257864876</v>
      </c>
      <c r="G16" s="29">
        <f t="shared" si="2"/>
        <v>3.3141517476555915E-2</v>
      </c>
      <c r="H16" s="73">
        <f t="shared" si="1"/>
        <v>1.4038517231392991</v>
      </c>
    </row>
  </sheetData>
  <sheetProtection sheet="1" objects="1" scenarios="1"/>
  <mergeCells count="2">
    <mergeCell ref="A1:H1"/>
    <mergeCell ref="A2:H3"/>
  </mergeCells>
  <conditionalFormatting sqref="B5:B16">
    <cfRule type="colorScale" priority="2">
      <colorScale>
        <cfvo type="min"/>
        <cfvo type="max"/>
        <color rgb="FFFFFFFF"/>
        <color rgb="FFBDD7EE"/>
      </colorScale>
    </cfRule>
  </conditionalFormatting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14"/>
  <sheetViews>
    <sheetView showGridLines="0" zoomScale="130" zoomScaleNormal="130" workbookViewId="0">
      <selection activeCell="A2" sqref="A2:I3"/>
    </sheetView>
  </sheetViews>
  <sheetFormatPr defaultColWidth="8.6640625" defaultRowHeight="14.4" x14ac:dyDescent="0.3"/>
  <cols>
    <col min="1" max="1" width="30" customWidth="1"/>
    <col min="2" max="2" width="16" customWidth="1"/>
    <col min="3" max="3" width="14" customWidth="1"/>
    <col min="4" max="4" width="17" customWidth="1"/>
    <col min="5" max="5" width="10" customWidth="1"/>
    <col min="6" max="6" width="3" customWidth="1"/>
    <col min="7" max="7" width="20" customWidth="1"/>
    <col min="8" max="8" width="16" customWidth="1"/>
    <col min="9" max="9" width="14" customWidth="1"/>
  </cols>
  <sheetData>
    <row r="1" spans="1:9" ht="27.75" customHeight="1" thickTop="1" thickBot="1" x14ac:dyDescent="0.35">
      <c r="A1" s="118" t="s">
        <v>132</v>
      </c>
      <c r="B1" s="118"/>
      <c r="C1" s="118"/>
      <c r="D1" s="118"/>
      <c r="E1" s="118"/>
      <c r="F1" s="118"/>
      <c r="G1" s="118"/>
      <c r="H1" s="118"/>
      <c r="I1" s="118"/>
    </row>
    <row r="2" spans="1:9" ht="15" customHeight="1" thickTop="1" x14ac:dyDescent="0.3">
      <c r="A2" s="135" t="s">
        <v>133</v>
      </c>
      <c r="B2" s="135"/>
      <c r="C2" s="135"/>
      <c r="D2" s="135"/>
      <c r="E2" s="135"/>
      <c r="F2" s="135"/>
      <c r="G2" s="135"/>
      <c r="H2" s="135"/>
      <c r="I2" s="135"/>
    </row>
    <row r="3" spans="1:9" x14ac:dyDescent="0.3">
      <c r="A3" s="93"/>
      <c r="B3" s="93"/>
      <c r="C3" s="93"/>
      <c r="D3" s="93"/>
      <c r="E3" s="93"/>
      <c r="F3" s="93"/>
      <c r="G3" s="93"/>
      <c r="H3" s="93"/>
      <c r="I3" s="93"/>
    </row>
    <row r="4" spans="1:9" ht="21" customHeight="1" x14ac:dyDescent="0.3">
      <c r="A4" s="133" t="s">
        <v>134</v>
      </c>
      <c r="B4" s="133"/>
      <c r="C4" s="133"/>
      <c r="D4" s="133"/>
      <c r="E4" s="133"/>
      <c r="G4" s="134" t="s">
        <v>135</v>
      </c>
      <c r="H4" s="134"/>
      <c r="I4" s="134"/>
    </row>
    <row r="5" spans="1:9" ht="21" customHeight="1" x14ac:dyDescent="0.3">
      <c r="A5" s="10" t="s">
        <v>68</v>
      </c>
      <c r="B5" s="10" t="s">
        <v>70</v>
      </c>
      <c r="C5" s="10" t="s">
        <v>64</v>
      </c>
      <c r="D5" s="10" t="s">
        <v>118</v>
      </c>
      <c r="E5" s="76" t="s">
        <v>120</v>
      </c>
      <c r="G5" s="77" t="s">
        <v>67</v>
      </c>
      <c r="H5" s="10" t="s">
        <v>70</v>
      </c>
      <c r="I5" s="10" t="s">
        <v>118</v>
      </c>
    </row>
    <row r="6" spans="1:9" ht="15" customHeight="1" x14ac:dyDescent="0.3">
      <c r="A6" s="17" t="s">
        <v>114</v>
      </c>
      <c r="B6" s="72">
        <f>SUMIFS('Raw Data'!$K$5:$K$292,'Raw Data'!$I$5:$I$292,A6)</f>
        <v>8704000</v>
      </c>
      <c r="C6" s="78">
        <f>SUMIFS('Raw Data'!$E$5:$E$292,'Raw Data'!$I$5:$I$292,A6)</f>
        <v>1062</v>
      </c>
      <c r="D6" s="79">
        <f t="shared" ref="D6:D14" si="0">IFERROR(B6/SUM($B$6:$B$14),0)</f>
        <v>8.7333440359608286E-2</v>
      </c>
      <c r="E6" s="80">
        <f t="shared" ref="E6:E14" si="1">RANK(B6,$B$6:$B$14,0)</f>
        <v>7</v>
      </c>
      <c r="G6" s="81" t="s">
        <v>78</v>
      </c>
      <c r="H6" s="52">
        <f>SUMIFS('Raw Data'!$K$5:$K$292,'Raw Data'!$H$5:$H$292,G6)</f>
        <v>16453000</v>
      </c>
      <c r="I6" s="82">
        <f t="shared" ref="I6:I11" si="2">IFERROR(H6/SUM($H$6:$H$11),0)</f>
        <v>0.16508468454005459</v>
      </c>
    </row>
    <row r="7" spans="1:9" ht="15" customHeight="1" x14ac:dyDescent="0.3">
      <c r="A7" s="24" t="s">
        <v>82</v>
      </c>
      <c r="B7" s="70">
        <f>SUMIFS('Raw Data'!$K$5:$K$292,'Raw Data'!$I$5:$I$292,A7)</f>
        <v>11047000</v>
      </c>
      <c r="C7" s="83">
        <f>SUMIFS('Raw Data'!$E$5:$E$292,'Raw Data'!$I$5:$I$292,A7)</f>
        <v>1347</v>
      </c>
      <c r="D7" s="84">
        <f t="shared" si="0"/>
        <v>0.11084243056670412</v>
      </c>
      <c r="E7" s="85">
        <f t="shared" si="1"/>
        <v>5</v>
      </c>
      <c r="G7" s="12" t="s">
        <v>104</v>
      </c>
      <c r="H7" s="14">
        <f>SUMIFS('Raw Data'!$K$5:$K$292,'Raw Data'!$H$5:$H$292,G7)</f>
        <v>20349000</v>
      </c>
      <c r="I7" s="30">
        <f t="shared" si="2"/>
        <v>0.20417603146572483</v>
      </c>
    </row>
    <row r="8" spans="1:9" ht="15" customHeight="1" x14ac:dyDescent="0.3">
      <c r="A8" s="17" t="s">
        <v>108</v>
      </c>
      <c r="B8" s="72">
        <f>SUMIFS('Raw Data'!$K$5:$K$292,'Raw Data'!$I$5:$I$292,A8)</f>
        <v>13696000</v>
      </c>
      <c r="C8" s="78">
        <f>SUMIFS('Raw Data'!$E$5:$E$292,'Raw Data'!$I$5:$I$292,A8)</f>
        <v>1682</v>
      </c>
      <c r="D8" s="79">
        <f t="shared" si="0"/>
        <v>0.13742173703644245</v>
      </c>
      <c r="E8" s="80">
        <f t="shared" si="1"/>
        <v>1</v>
      </c>
      <c r="G8" s="17" t="s">
        <v>110</v>
      </c>
      <c r="H8" s="19">
        <f>SUMIFS('Raw Data'!$K$5:$K$292,'Raw Data'!$H$5:$H$292,G8)</f>
        <v>12812000</v>
      </c>
      <c r="I8" s="29">
        <f t="shared" si="2"/>
        <v>0.12855193449991972</v>
      </c>
    </row>
    <row r="9" spans="1:9" ht="15" customHeight="1" x14ac:dyDescent="0.3">
      <c r="A9" s="12" t="s">
        <v>105</v>
      </c>
      <c r="B9" s="74">
        <f>SUMIFS('Raw Data'!$K$5:$K$292,'Raw Data'!$I$5:$I$292,A9)</f>
        <v>13553000</v>
      </c>
      <c r="C9" s="86">
        <f>SUMIFS('Raw Data'!$E$5:$E$292,'Raw Data'!$I$5:$I$292,A9)</f>
        <v>1673</v>
      </c>
      <c r="D9" s="87">
        <f t="shared" si="0"/>
        <v>0.13598691603788729</v>
      </c>
      <c r="E9" s="80">
        <f t="shared" si="1"/>
        <v>3</v>
      </c>
      <c r="G9" s="12" t="s">
        <v>106</v>
      </c>
      <c r="H9" s="14">
        <f>SUMIFS('Raw Data'!$K$5:$K$292,'Raw Data'!$H$5:$H$292,G9)</f>
        <v>20468000</v>
      </c>
      <c r="I9" s="30">
        <f t="shared" si="2"/>
        <v>0.20537004334564135</v>
      </c>
    </row>
    <row r="10" spans="1:9" ht="15" customHeight="1" x14ac:dyDescent="0.3">
      <c r="A10" s="17" t="s">
        <v>84</v>
      </c>
      <c r="B10" s="72">
        <f>SUMIFS('Raw Data'!$K$5:$K$292,'Raw Data'!$I$5:$I$292,A10)</f>
        <v>11119000</v>
      </c>
      <c r="C10" s="78">
        <f>SUMIFS('Raw Data'!$E$5:$E$292,'Raw Data'!$I$5:$I$292,A10)</f>
        <v>1365</v>
      </c>
      <c r="D10" s="79">
        <f t="shared" si="0"/>
        <v>0.11156485792262</v>
      </c>
      <c r="E10" s="80">
        <f t="shared" si="1"/>
        <v>4</v>
      </c>
      <c r="G10" s="17" t="s">
        <v>112</v>
      </c>
      <c r="H10" s="19">
        <f>SUMIFS('Raw Data'!$K$5:$K$292,'Raw Data'!$H$5:$H$292,G10)</f>
        <v>12895000</v>
      </c>
      <c r="I10" s="29">
        <f t="shared" si="2"/>
        <v>0.12938473270187831</v>
      </c>
    </row>
    <row r="11" spans="1:9" ht="15" customHeight="1" x14ac:dyDescent="0.3">
      <c r="A11" s="12" t="s">
        <v>79</v>
      </c>
      <c r="B11" s="74">
        <f>SUMIFS('Raw Data'!$K$5:$K$292,'Raw Data'!$I$5:$I$292,A11)</f>
        <v>10974000</v>
      </c>
      <c r="C11" s="86">
        <f>SUMIFS('Raw Data'!$E$5:$E$292,'Raw Data'!$I$5:$I$292,A11)</f>
        <v>1360</v>
      </c>
      <c r="D11" s="87">
        <f t="shared" si="0"/>
        <v>0.11010996949751164</v>
      </c>
      <c r="E11" s="80">
        <f t="shared" si="1"/>
        <v>6</v>
      </c>
      <c r="G11" s="12" t="s">
        <v>81</v>
      </c>
      <c r="H11" s="14">
        <f>SUMIFS('Raw Data'!$K$5:$K$292,'Raw Data'!$H$5:$H$292,G11)</f>
        <v>16687000</v>
      </c>
      <c r="I11" s="30">
        <f t="shared" si="2"/>
        <v>0.1674325734467812</v>
      </c>
    </row>
    <row r="12" spans="1:9" ht="15" customHeight="1" x14ac:dyDescent="0.3">
      <c r="A12" s="17" t="s">
        <v>107</v>
      </c>
      <c r="B12" s="72">
        <f>SUMIFS('Raw Data'!$K$5:$K$292,'Raw Data'!$I$5:$I$292,A12)</f>
        <v>13568000</v>
      </c>
      <c r="C12" s="78">
        <f>SUMIFS('Raw Data'!$E$5:$E$292,'Raw Data'!$I$5:$I$292,A12)</f>
        <v>1656</v>
      </c>
      <c r="D12" s="79">
        <f t="shared" si="0"/>
        <v>0.13613742173703644</v>
      </c>
      <c r="E12" s="80">
        <f t="shared" si="1"/>
        <v>2</v>
      </c>
    </row>
    <row r="13" spans="1:9" ht="15" customHeight="1" x14ac:dyDescent="0.3">
      <c r="A13" s="12" t="s">
        <v>111</v>
      </c>
      <c r="B13" s="74">
        <f>SUMIFS('Raw Data'!$K$5:$K$292,'Raw Data'!$I$5:$I$292,A13)</f>
        <v>8521000</v>
      </c>
      <c r="C13" s="86">
        <f>SUMIFS('Raw Data'!$E$5:$E$292,'Raw Data'!$I$5:$I$292,A13)</f>
        <v>1053</v>
      </c>
      <c r="D13" s="87">
        <f t="shared" si="0"/>
        <v>8.5497270829988758E-2</v>
      </c>
      <c r="E13" s="80">
        <f t="shared" si="1"/>
        <v>8</v>
      </c>
    </row>
    <row r="14" spans="1:9" ht="15" customHeight="1" x14ac:dyDescent="0.3">
      <c r="A14" s="17" t="s">
        <v>113</v>
      </c>
      <c r="B14" s="72">
        <f>SUMIFS('Raw Data'!$K$5:$K$292,'Raw Data'!$I$5:$I$292,A14)</f>
        <v>8482000</v>
      </c>
      <c r="C14" s="78">
        <f>SUMIFS('Raw Data'!$E$5:$E$292,'Raw Data'!$I$5:$I$292,A14)</f>
        <v>1037</v>
      </c>
      <c r="D14" s="79">
        <f t="shared" si="0"/>
        <v>8.5105956012201001E-2</v>
      </c>
      <c r="E14" s="80">
        <f t="shared" si="1"/>
        <v>9</v>
      </c>
    </row>
  </sheetData>
  <sheetProtection sheet="1" objects="1" scenarios="1"/>
  <mergeCells count="4">
    <mergeCell ref="A1:I1"/>
    <mergeCell ref="A4:E4"/>
    <mergeCell ref="G4:I4"/>
    <mergeCell ref="A2:I3"/>
  </mergeCells>
  <conditionalFormatting sqref="B6:B14">
    <cfRule type="colorScale" priority="2">
      <colorScale>
        <cfvo type="min"/>
        <cfvo type="max"/>
        <color rgb="FFFFFFFF"/>
        <color rgb="FFBDD7EE"/>
      </colorScale>
    </cfRule>
  </conditionalFormatting>
  <conditionalFormatting sqref="H6:H11">
    <cfRule type="colorScale" priority="3">
      <colorScale>
        <cfvo type="min"/>
        <cfvo type="max"/>
        <color rgb="FFFFFFFF"/>
        <color rgb="FFBDD7EE"/>
      </colorScale>
    </cfRule>
  </conditionalFormatting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5"/>
  <sheetViews>
    <sheetView showGridLines="0" zoomScaleNormal="100" workbookViewId="0">
      <selection activeCell="A17" sqref="A17:G17"/>
    </sheetView>
  </sheetViews>
  <sheetFormatPr defaultColWidth="8.6640625" defaultRowHeight="14.4" x14ac:dyDescent="0.3"/>
  <cols>
    <col min="1" max="1" width="24" customWidth="1"/>
    <col min="2" max="2" width="18" customWidth="1"/>
    <col min="3" max="3" width="25" customWidth="1"/>
    <col min="4" max="4" width="55" customWidth="1"/>
    <col min="5" max="5" width="4" customWidth="1"/>
    <col min="6" max="7" width="22" customWidth="1"/>
  </cols>
  <sheetData>
    <row r="1" spans="1:7" ht="27.75" customHeight="1" x14ac:dyDescent="0.3">
      <c r="A1" s="92" t="s">
        <v>136</v>
      </c>
      <c r="B1" s="92"/>
      <c r="C1" s="92"/>
      <c r="D1" s="92"/>
      <c r="E1" s="92"/>
      <c r="F1" s="92"/>
      <c r="G1" s="92"/>
    </row>
    <row r="2" spans="1:7" ht="15" customHeight="1" x14ac:dyDescent="0.3">
      <c r="A2" s="93" t="s">
        <v>137</v>
      </c>
      <c r="B2" s="93"/>
      <c r="C2" s="93"/>
      <c r="D2" s="93"/>
      <c r="E2" s="93"/>
      <c r="F2" s="93"/>
      <c r="G2" s="93"/>
    </row>
    <row r="3" spans="1:7" ht="14.25" customHeight="1" x14ac:dyDescent="0.3">
      <c r="A3" s="93"/>
      <c r="B3" s="93"/>
      <c r="C3" s="93"/>
      <c r="D3" s="93"/>
      <c r="E3" s="93"/>
      <c r="F3" s="93"/>
      <c r="G3" s="93"/>
    </row>
    <row r="4" spans="1:7" ht="21" customHeight="1" x14ac:dyDescent="0.3">
      <c r="A4" s="94" t="s">
        <v>138</v>
      </c>
      <c r="B4" s="94"/>
      <c r="C4" s="94"/>
      <c r="D4" s="94"/>
      <c r="F4" s="94" t="s">
        <v>139</v>
      </c>
      <c r="G4" s="94"/>
    </row>
    <row r="5" spans="1:7" ht="21" customHeight="1" x14ac:dyDescent="0.3">
      <c r="A5" s="22" t="s">
        <v>140</v>
      </c>
      <c r="B5" s="22" t="s">
        <v>141</v>
      </c>
      <c r="C5" s="88" t="s">
        <v>142</v>
      </c>
      <c r="D5" s="22" t="s">
        <v>143</v>
      </c>
      <c r="F5" s="22" t="s">
        <v>144</v>
      </c>
      <c r="G5" s="22" t="s">
        <v>141</v>
      </c>
    </row>
    <row r="6" spans="1:7" ht="15" customHeight="1" x14ac:dyDescent="0.3">
      <c r="A6" s="17" t="s">
        <v>125</v>
      </c>
      <c r="B6" s="19">
        <f>SUM('Raw Data'!$K$5:$K$292)</f>
        <v>99664000</v>
      </c>
      <c r="C6" s="17" t="s">
        <v>145</v>
      </c>
      <c r="D6" s="51" t="s">
        <v>146</v>
      </c>
      <c r="F6" s="17" t="s">
        <v>147</v>
      </c>
      <c r="G6" s="17" t="str">
        <f>INDEX('Branch Analysis'!$A$6:$A$8,MATCH(MAX('Branch Analysis'!$B$6:$B$8),'Branch Analysis'!$B$6:$B$8,0))</f>
        <v>Jakarta</v>
      </c>
    </row>
    <row r="7" spans="1:7" ht="15" customHeight="1" x14ac:dyDescent="0.3">
      <c r="A7" s="12" t="s">
        <v>148</v>
      </c>
      <c r="B7" s="14">
        <f>SUM('Raw Data'!$M$5:$M$292)</f>
        <v>38682800</v>
      </c>
      <c r="C7" s="12" t="s">
        <v>149</v>
      </c>
      <c r="D7" s="12" t="s">
        <v>150</v>
      </c>
      <c r="F7" s="12" t="s">
        <v>151</v>
      </c>
      <c r="G7" s="12" t="str">
        <f>INDEX('Sales Analysis'!$A$5:$A$12,MATCH(MAX('Sales Analysis'!$F$5:$F$12),'Sales Analysis'!$F$5:$F$12,0))</f>
        <v>Notebook</v>
      </c>
    </row>
    <row r="8" spans="1:7" ht="15" customHeight="1" x14ac:dyDescent="0.3">
      <c r="A8" s="17" t="s">
        <v>73</v>
      </c>
      <c r="B8" s="21">
        <f>IFERROR(B7/B6,0)</f>
        <v>0.38813212393642638</v>
      </c>
      <c r="C8" s="17" t="s">
        <v>152</v>
      </c>
      <c r="D8" s="17" t="s">
        <v>153</v>
      </c>
      <c r="F8" s="17" t="s">
        <v>154</v>
      </c>
      <c r="G8" s="17" t="str">
        <f>INDEX('Monthly Analysis'!$A$5:$A$16,MATCH(MAX('Monthly Analysis'!$B$5:$B$16),'Monthly Analysis'!$B$5:$B$16,0))</f>
        <v>December</v>
      </c>
    </row>
    <row r="9" spans="1:7" ht="15" customHeight="1" x14ac:dyDescent="0.3">
      <c r="A9" s="12" t="s">
        <v>64</v>
      </c>
      <c r="B9" s="89">
        <f>SUM('Raw Data'!$E$5:$E$292)</f>
        <v>12235</v>
      </c>
      <c r="C9" s="12" t="s">
        <v>155</v>
      </c>
      <c r="D9" s="12" t="s">
        <v>156</v>
      </c>
      <c r="F9" s="12" t="s">
        <v>157</v>
      </c>
      <c r="G9" s="12" t="str">
        <f>INDEX('Branch Analysis'!$A$6:$A$8,MATCH(MAX('Branch Analysis'!$E$6:$E$8),'Branch Analysis'!$E$6:$E$8,0))</f>
        <v>Bandung</v>
      </c>
    </row>
    <row r="10" spans="1:7" ht="15" customHeight="1" x14ac:dyDescent="0.3">
      <c r="A10" s="17" t="s">
        <v>158</v>
      </c>
      <c r="B10" s="90">
        <f>COUNTA('Raw Data'!$A$5:$A$292)</f>
        <v>288</v>
      </c>
      <c r="C10" s="17" t="s">
        <v>159</v>
      </c>
      <c r="D10" s="17" t="s">
        <v>160</v>
      </c>
    </row>
    <row r="11" spans="1:7" ht="15" customHeight="1" x14ac:dyDescent="0.3">
      <c r="A11" s="12" t="s">
        <v>161</v>
      </c>
      <c r="B11" s="14">
        <f>IFERROR(B6/B10,0)</f>
        <v>346055.55555555556</v>
      </c>
      <c r="C11" s="12" t="s">
        <v>162</v>
      </c>
      <c r="D11" s="12" t="s">
        <v>163</v>
      </c>
    </row>
    <row r="14" spans="1:7" ht="21" customHeight="1" x14ac:dyDescent="0.3">
      <c r="A14" s="95" t="s">
        <v>164</v>
      </c>
      <c r="B14" s="95"/>
      <c r="C14" s="95"/>
      <c r="D14" s="95"/>
      <c r="E14" s="95"/>
      <c r="F14" s="95"/>
      <c r="G14" s="95"/>
    </row>
    <row r="15" spans="1:7" ht="27" customHeight="1" x14ac:dyDescent="0.3">
      <c r="A15" s="96" t="s">
        <v>165</v>
      </c>
      <c r="B15" s="96"/>
      <c r="C15" s="96"/>
      <c r="D15" s="96"/>
      <c r="E15" s="96"/>
      <c r="F15" s="96"/>
      <c r="G15" s="96"/>
    </row>
    <row r="16" spans="1:7" ht="13.5" customHeight="1" x14ac:dyDescent="0.3">
      <c r="A16" s="97"/>
      <c r="B16" s="97"/>
      <c r="C16" s="97"/>
      <c r="D16" s="97"/>
      <c r="E16" s="97"/>
      <c r="F16" s="97"/>
      <c r="G16" s="97"/>
    </row>
    <row r="17" spans="1:8" ht="27" customHeight="1" x14ac:dyDescent="0.3">
      <c r="A17" s="96" t="s">
        <v>166</v>
      </c>
      <c r="B17" s="96"/>
      <c r="C17" s="96"/>
      <c r="D17" s="96"/>
      <c r="E17" s="96"/>
      <c r="F17" s="96"/>
      <c r="G17" s="96"/>
    </row>
    <row r="18" spans="1:8" ht="13.5" customHeight="1" x14ac:dyDescent="0.3">
      <c r="A18" s="97"/>
      <c r="B18" s="97"/>
      <c r="C18" s="97"/>
      <c r="D18" s="97"/>
      <c r="E18" s="97"/>
      <c r="F18" s="97"/>
      <c r="G18" s="97"/>
    </row>
    <row r="19" spans="1:8" ht="33.6" customHeight="1" x14ac:dyDescent="0.3">
      <c r="A19" s="96" t="s">
        <v>167</v>
      </c>
      <c r="B19" s="96"/>
      <c r="C19" s="96"/>
      <c r="D19" s="96"/>
      <c r="E19" s="96"/>
      <c r="F19" s="96"/>
      <c r="G19" s="96"/>
      <c r="H19" s="91"/>
    </row>
    <row r="20" spans="1:8" ht="13.5" customHeight="1" x14ac:dyDescent="0.3">
      <c r="A20" s="91"/>
      <c r="B20" s="91"/>
      <c r="C20" s="91"/>
      <c r="D20" s="91"/>
      <c r="E20" s="91"/>
      <c r="F20" s="91"/>
      <c r="G20" s="91"/>
      <c r="H20" s="91"/>
    </row>
    <row r="21" spans="1:8" ht="13.5" customHeight="1" x14ac:dyDescent="0.3">
      <c r="A21" s="96" t="s">
        <v>168</v>
      </c>
      <c r="B21" s="96"/>
      <c r="C21" s="96"/>
      <c r="D21" s="96"/>
      <c r="E21" s="96"/>
      <c r="F21" s="96"/>
      <c r="G21" s="96"/>
      <c r="H21" s="91"/>
    </row>
    <row r="22" spans="1:8" ht="27" customHeight="1" x14ac:dyDescent="0.3">
      <c r="A22" s="96"/>
      <c r="B22" s="96"/>
      <c r="C22" s="96"/>
      <c r="D22" s="96"/>
      <c r="E22" s="96"/>
      <c r="F22" s="96"/>
      <c r="G22" s="96"/>
      <c r="H22" s="91"/>
    </row>
    <row r="23" spans="1:8" ht="27" customHeight="1" x14ac:dyDescent="0.3">
      <c r="A23" s="96"/>
      <c r="B23" s="96"/>
      <c r="C23" s="96"/>
      <c r="D23" s="96"/>
      <c r="E23" s="96"/>
      <c r="F23" s="96"/>
      <c r="G23" s="96"/>
      <c r="H23" s="91"/>
    </row>
    <row r="24" spans="1:8" ht="13.5" customHeight="1" x14ac:dyDescent="0.3">
      <c r="A24" s="96" t="s">
        <v>169</v>
      </c>
      <c r="B24" s="96"/>
      <c r="C24" s="96"/>
      <c r="D24" s="96"/>
      <c r="E24" s="96"/>
      <c r="F24" s="96"/>
      <c r="G24" s="96"/>
      <c r="H24" s="96"/>
    </row>
    <row r="25" spans="1:8" ht="27" customHeight="1" x14ac:dyDescent="0.3">
      <c r="A25" s="96"/>
      <c r="B25" s="96"/>
      <c r="C25" s="96"/>
      <c r="D25" s="96"/>
      <c r="E25" s="96"/>
      <c r="F25" s="96"/>
      <c r="G25" s="96"/>
      <c r="H25" s="96"/>
    </row>
  </sheetData>
  <sheetProtection sheet="1" objects="1" scenarios="1"/>
  <mergeCells count="12">
    <mergeCell ref="A21:G23"/>
    <mergeCell ref="A24:H25"/>
    <mergeCell ref="A15:G15"/>
    <mergeCell ref="A16:G16"/>
    <mergeCell ref="A17:G17"/>
    <mergeCell ref="A18:G18"/>
    <mergeCell ref="A19:G19"/>
    <mergeCell ref="A1:G1"/>
    <mergeCell ref="A2:G3"/>
    <mergeCell ref="A4:D4"/>
    <mergeCell ref="F4:G4"/>
    <mergeCell ref="A14:G14"/>
  </mergeCells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6"/>
  <sheetViews>
    <sheetView showGridLines="0" topLeftCell="B1" zoomScaleNormal="100" workbookViewId="0">
      <selection activeCell="P7" sqref="P7"/>
    </sheetView>
  </sheetViews>
  <sheetFormatPr defaultColWidth="8.6640625" defaultRowHeight="14.4" x14ac:dyDescent="0.3"/>
  <cols>
    <col min="1" max="1" width="15" customWidth="1"/>
    <col min="2" max="3" width="16" customWidth="1"/>
    <col min="4" max="4" width="14" customWidth="1"/>
    <col min="5" max="5" width="4" customWidth="1"/>
    <col min="6" max="6" width="20" customWidth="1"/>
    <col min="7" max="7" width="16" style="31" customWidth="1"/>
    <col min="8" max="8" width="4" customWidth="1"/>
    <col min="9" max="9" width="16" customWidth="1"/>
    <col min="10" max="10" width="16" style="31" customWidth="1"/>
    <col min="11" max="11" width="4" customWidth="1"/>
    <col min="12" max="12" width="18" customWidth="1"/>
    <col min="13" max="13" width="16" style="31" customWidth="1"/>
  </cols>
  <sheetData>
    <row r="1" spans="1:13" ht="27.75" customHeight="1" x14ac:dyDescent="0.3">
      <c r="A1" s="128" t="s">
        <v>170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15" customHeight="1" x14ac:dyDescent="0.3">
      <c r="A2" s="93" t="s">
        <v>171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spans="1:13" ht="15" customHeigh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</row>
    <row r="4" spans="1:13" ht="21" customHeight="1" x14ac:dyDescent="0.3">
      <c r="A4" s="10" t="s">
        <v>63</v>
      </c>
      <c r="B4" s="11" t="s">
        <v>172</v>
      </c>
      <c r="C4" s="11" t="s">
        <v>148</v>
      </c>
      <c r="D4" s="10" t="s">
        <v>173</v>
      </c>
      <c r="F4" s="10" t="s">
        <v>61</v>
      </c>
      <c r="G4" s="11" t="s">
        <v>172</v>
      </c>
      <c r="I4" s="10" t="s">
        <v>14</v>
      </c>
      <c r="J4" s="11" t="s">
        <v>172</v>
      </c>
      <c r="L4" s="10" t="s">
        <v>62</v>
      </c>
      <c r="M4" s="11" t="s">
        <v>172</v>
      </c>
    </row>
    <row r="5" spans="1:13" ht="15" customHeight="1" x14ac:dyDescent="0.3">
      <c r="A5" s="17" t="s">
        <v>77</v>
      </c>
      <c r="B5" s="19">
        <f>IF(Dashboard!$F$4="All Branches",SUMIFS('Raw Data'!$K$5:$K$292,'Raw Data'!$D$5:$D$292,A5),SUMIFS('Raw Data'!$K$5:$K$292,'Raw Data'!$D$5:$D$292,A5,'Raw Data'!$A$5:$A$292,Dashboard!$F$4))</f>
        <v>6906000</v>
      </c>
      <c r="C5" s="19">
        <f>IF(Dashboard!$F$4="All Branches",SUMIFS('Raw Data'!$M$5:$M$292,'Raw Data'!$D$5:$D$292,A5),SUMIFS('Raw Data'!$M$5:$M$292,'Raw Data'!$D$5:$D$292,A5,'Raw Data'!$A$5:$A$292,Dashboard!$F$4))</f>
        <v>2684800</v>
      </c>
      <c r="D5" s="90">
        <f>IF(Dashboard!$F$4="All Branches",SUMIFS('Raw Data'!$E$5:$E$292,'Raw Data'!$D$5:$D$292,A5),SUMIFS('Raw Data'!$E$5:$E$292,'Raw Data'!$D$5:$D$292,A5,'Raw Data'!$A$5:$A$292,Dashboard!$F$4))</f>
        <v>855</v>
      </c>
      <c r="F5" s="17" t="s">
        <v>94</v>
      </c>
      <c r="G5" s="19">
        <f>IF(Dashboard!$F$4="All Branches",SUMIFS('Raw Data'!$K$5:$K$292,'Raw Data'!$B$5:$B$292,F5),SUMIFS('Raw Data'!$K$5:$K$292,'Raw Data'!$B$5:$B$292,F5,'Raw Data'!$A$5:$A$292,Dashboard!$F$4))</f>
        <v>14165000</v>
      </c>
      <c r="I5" s="17" t="s">
        <v>74</v>
      </c>
      <c r="J5" s="19">
        <f>SUMIFS('Raw Data'!$K$5:$K$292,'Raw Data'!$A$5:$A$292,I5)</f>
        <v>33140000</v>
      </c>
      <c r="L5" s="17" t="s">
        <v>99</v>
      </c>
      <c r="M5" s="19">
        <f>SUMIFS('Raw Data'!$K$5:$K$292,'Raw Data'!$C$5:$C$292,L5)</f>
        <v>24101000</v>
      </c>
    </row>
    <row r="6" spans="1:13" ht="15" customHeight="1" x14ac:dyDescent="0.3">
      <c r="A6" s="12" t="s">
        <v>80</v>
      </c>
      <c r="B6" s="14">
        <f>IF(Dashboard!$F$4="All Branches",SUMIFS('Raw Data'!$K$5:$K$292,'Raw Data'!$D$5:$D$292,A6),SUMIFS('Raw Data'!$K$5:$K$292,'Raw Data'!$D$5:$D$292,A6,'Raw Data'!$A$5:$A$292,Dashboard!$F$4))</f>
        <v>7224000</v>
      </c>
      <c r="C6" s="14">
        <f>IF(Dashboard!$F$4="All Branches",SUMIFS('Raw Data'!$M$5:$M$292,'Raw Data'!$D$5:$D$292,A6),SUMIFS('Raw Data'!$M$5:$M$292,'Raw Data'!$D$5:$D$292,A6,'Raw Data'!$A$5:$A$292,Dashboard!$F$4))</f>
        <v>2801200</v>
      </c>
      <c r="D6" s="89">
        <f>IF(Dashboard!$F$4="All Branches",SUMIFS('Raw Data'!$E$5:$E$292,'Raw Data'!$D$5:$D$292,A6),SUMIFS('Raw Data'!$E$5:$E$292,'Raw Data'!$D$5:$D$292,A6,'Raw Data'!$A$5:$A$292,Dashboard!$F$4))</f>
        <v>880</v>
      </c>
      <c r="F6" s="12" t="s">
        <v>98</v>
      </c>
      <c r="G6" s="14">
        <f>IF(Dashboard!$F$4="All Branches",SUMIFS('Raw Data'!$K$5:$K$292,'Raw Data'!$B$5:$B$292,F6),SUMIFS('Raw Data'!$K$5:$K$292,'Raw Data'!$B$5:$B$292,F6,'Raw Data'!$A$5:$A$292,Dashboard!$F$4))</f>
        <v>10206000</v>
      </c>
      <c r="I6" s="12" t="s">
        <v>103</v>
      </c>
      <c r="J6" s="14">
        <f>SUMIFS('Raw Data'!$K$5:$K$292,'Raw Data'!$A$5:$A$292,I6)</f>
        <v>40817000</v>
      </c>
      <c r="L6" s="12" t="s">
        <v>76</v>
      </c>
      <c r="M6" s="14">
        <f>SUMIFS('Raw Data'!$K$5:$K$292,'Raw Data'!$C$5:$C$292,L6)</f>
        <v>42300000</v>
      </c>
    </row>
    <row r="7" spans="1:13" ht="15" customHeight="1" x14ac:dyDescent="0.3">
      <c r="A7" s="17" t="s">
        <v>83</v>
      </c>
      <c r="B7" s="19">
        <f>IF(Dashboard!$F$4="All Branches",SUMIFS('Raw Data'!$K$5:$K$292,'Raw Data'!$D$5:$D$292,A7),SUMIFS('Raw Data'!$K$5:$K$292,'Raw Data'!$D$5:$D$292,A7,'Raw Data'!$A$5:$A$292,Dashboard!$F$4))</f>
        <v>7440000</v>
      </c>
      <c r="C7" s="19">
        <f>IF(Dashboard!$F$4="All Branches",SUMIFS('Raw Data'!$M$5:$M$292,'Raw Data'!$D$5:$D$292,A7),SUMIFS('Raw Data'!$M$5:$M$292,'Raw Data'!$D$5:$D$292,A7,'Raw Data'!$A$5:$A$292,Dashboard!$F$4))</f>
        <v>2888200</v>
      </c>
      <c r="D7" s="90">
        <f>IF(Dashboard!$F$4="All Branches",SUMIFS('Raw Data'!$E$5:$E$292,'Raw Data'!$D$5:$D$292,A7),SUMIFS('Raw Data'!$E$5:$E$292,'Raw Data'!$D$5:$D$292,A7,'Raw Data'!$A$5:$A$292,Dashboard!$F$4))</f>
        <v>919</v>
      </c>
      <c r="F7" s="17" t="s">
        <v>102</v>
      </c>
      <c r="G7" s="19">
        <f>IF(Dashboard!$F$4="All Branches",SUMIFS('Raw Data'!$K$5:$K$292,'Raw Data'!$B$5:$B$292,F7),SUMIFS('Raw Data'!$K$5:$K$292,'Raw Data'!$B$5:$B$292,F7,'Raw Data'!$A$5:$A$292,Dashboard!$F$4))</f>
        <v>6636000</v>
      </c>
      <c r="I7" s="17" t="s">
        <v>109</v>
      </c>
      <c r="J7" s="19">
        <f>SUMIFS('Raw Data'!$K$5:$K$292,'Raw Data'!$A$5:$A$292,I7)</f>
        <v>25707000</v>
      </c>
      <c r="L7" s="17" t="s">
        <v>95</v>
      </c>
      <c r="M7" s="19">
        <f>SUMIFS('Raw Data'!$K$5:$K$292,'Raw Data'!$C$5:$C$292,L7)</f>
        <v>33263000</v>
      </c>
    </row>
    <row r="8" spans="1:13" ht="15" customHeight="1" x14ac:dyDescent="0.3">
      <c r="A8" s="12" t="s">
        <v>85</v>
      </c>
      <c r="B8" s="14">
        <f>IF(Dashboard!$F$4="All Branches",SUMIFS('Raw Data'!$K$5:$K$292,'Raw Data'!$D$5:$D$292,A8),SUMIFS('Raw Data'!$K$5:$K$292,'Raw Data'!$D$5:$D$292,A8,'Raw Data'!$A$5:$A$292,Dashboard!$F$4))</f>
        <v>7698000</v>
      </c>
      <c r="C8" s="14">
        <f>IF(Dashboard!$F$4="All Branches",SUMIFS('Raw Data'!$M$5:$M$292,'Raw Data'!$D$5:$D$292,A8),SUMIFS('Raw Data'!$M$5:$M$292,'Raw Data'!$D$5:$D$292,A8,'Raw Data'!$A$5:$A$292,Dashboard!$F$4))</f>
        <v>2989000</v>
      </c>
      <c r="D8" s="89">
        <f>IF(Dashboard!$F$4="All Branches",SUMIFS('Raw Data'!$E$5:$E$292,'Raw Data'!$D$5:$D$292,A8),SUMIFS('Raw Data'!$E$5:$E$292,'Raw Data'!$D$5:$D$292,A8,'Raw Data'!$A$5:$A$292,Dashboard!$F$4))</f>
        <v>945</v>
      </c>
      <c r="F8" s="12" t="s">
        <v>97</v>
      </c>
      <c r="G8" s="14">
        <f>IF(Dashboard!$F$4="All Branches",SUMIFS('Raw Data'!$K$5:$K$292,'Raw Data'!$B$5:$B$292,F8),SUMIFS('Raw Data'!$K$5:$K$292,'Raw Data'!$B$5:$B$292,F8,'Raw Data'!$A$5:$A$292,Dashboard!$F$4))</f>
        <v>11304000</v>
      </c>
    </row>
    <row r="9" spans="1:13" ht="15" customHeight="1" x14ac:dyDescent="0.3">
      <c r="A9" s="17" t="s">
        <v>86</v>
      </c>
      <c r="B9" s="19">
        <f>IF(Dashboard!$F$4="All Branches",SUMIFS('Raw Data'!$K$5:$K$292,'Raw Data'!$D$5:$D$292,A9),SUMIFS('Raw Data'!$K$5:$K$292,'Raw Data'!$D$5:$D$292,A9,'Raw Data'!$A$5:$A$292,Dashboard!$F$4))</f>
        <v>7935000</v>
      </c>
      <c r="C9" s="19">
        <f>IF(Dashboard!$F$4="All Branches",SUMIFS('Raw Data'!$M$5:$M$292,'Raw Data'!$D$5:$D$292,A9),SUMIFS('Raw Data'!$M$5:$M$292,'Raw Data'!$D$5:$D$292,A9,'Raw Data'!$A$5:$A$292,Dashboard!$F$4))</f>
        <v>3077200</v>
      </c>
      <c r="D9" s="90">
        <f>IF(Dashboard!$F$4="All Branches",SUMIFS('Raw Data'!$E$5:$E$292,'Raw Data'!$D$5:$D$292,A9),SUMIFS('Raw Data'!$E$5:$E$292,'Raw Data'!$D$5:$D$292,A9,'Raw Data'!$A$5:$A$292,Dashboard!$F$4))</f>
        <v>972</v>
      </c>
      <c r="F9" s="17" t="s">
        <v>75</v>
      </c>
      <c r="G9" s="19">
        <f>IF(Dashboard!$F$4="All Branches",SUMIFS('Raw Data'!$K$5:$K$292,'Raw Data'!$B$5:$B$292,F9),SUMIFS('Raw Data'!$K$5:$K$292,'Raw Data'!$B$5:$B$292,F9,'Raw Data'!$A$5:$A$292,Dashboard!$F$4))</f>
        <v>29550000</v>
      </c>
    </row>
    <row r="10" spans="1:13" ht="15" customHeight="1" x14ac:dyDescent="0.3">
      <c r="A10" s="12" t="s">
        <v>87</v>
      </c>
      <c r="B10" s="14">
        <f>IF(Dashboard!$F$4="All Branches",SUMIFS('Raw Data'!$K$5:$K$292,'Raw Data'!$D$5:$D$292,A10),SUMIFS('Raw Data'!$K$5:$K$292,'Raw Data'!$D$5:$D$292,A10,'Raw Data'!$A$5:$A$292,Dashboard!$F$4))</f>
        <v>8160000</v>
      </c>
      <c r="C10" s="14">
        <f>IF(Dashboard!$F$4="All Branches",SUMIFS('Raw Data'!$M$5:$M$292,'Raw Data'!$D$5:$D$292,A10),SUMIFS('Raw Data'!$M$5:$M$292,'Raw Data'!$D$5:$D$292,A10,'Raw Data'!$A$5:$A$292,Dashboard!$F$4))</f>
        <v>3171200</v>
      </c>
      <c r="D10" s="89">
        <f>IF(Dashboard!$F$4="All Branches",SUMIFS('Raw Data'!$E$5:$E$292,'Raw Data'!$D$5:$D$292,A10),SUMIFS('Raw Data'!$E$5:$E$292,'Raw Data'!$D$5:$D$292,A10,'Raw Data'!$A$5:$A$292,Dashboard!$F$4))</f>
        <v>1009</v>
      </c>
      <c r="F10" s="12" t="s">
        <v>101</v>
      </c>
      <c r="G10" s="14">
        <f>IF(Dashboard!$F$4="All Branches",SUMIFS('Raw Data'!$K$5:$K$292,'Raw Data'!$B$5:$B$292,F10),SUMIFS('Raw Data'!$K$5:$K$292,'Raw Data'!$B$5:$B$292,F10,'Raw Data'!$A$5:$A$292,Dashboard!$F$4))</f>
        <v>7794000</v>
      </c>
    </row>
    <row r="11" spans="1:13" ht="15" customHeight="1" x14ac:dyDescent="0.3">
      <c r="A11" s="17" t="s">
        <v>88</v>
      </c>
      <c r="B11" s="19">
        <f>IF(Dashboard!$F$4="All Branches",SUMIFS('Raw Data'!$K$5:$K$292,'Raw Data'!$D$5:$D$292,A11),SUMIFS('Raw Data'!$K$5:$K$292,'Raw Data'!$D$5:$D$292,A11,'Raw Data'!$A$5:$A$292,Dashboard!$F$4))</f>
        <v>8478000</v>
      </c>
      <c r="C11" s="19">
        <f>IF(Dashboard!$F$4="All Branches",SUMIFS('Raw Data'!$M$5:$M$292,'Raw Data'!$D$5:$D$292,A11),SUMIFS('Raw Data'!$M$5:$M$292,'Raw Data'!$D$5:$D$292,A11,'Raw Data'!$A$5:$A$292,Dashboard!$F$4))</f>
        <v>3287600</v>
      </c>
      <c r="D11" s="90">
        <f>IF(Dashboard!$F$4="All Branches",SUMIFS('Raw Data'!$E$5:$E$292,'Raw Data'!$D$5:$D$292,A11),SUMIFS('Raw Data'!$E$5:$E$292,'Raw Data'!$D$5:$D$292,A11,'Raw Data'!$A$5:$A$292,Dashboard!$F$4))</f>
        <v>1032</v>
      </c>
      <c r="F11" s="17" t="s">
        <v>100</v>
      </c>
      <c r="G11" s="19">
        <f>IF(Dashboard!$F$4="All Branches",SUMIFS('Raw Data'!$K$5:$K$292,'Raw Data'!$B$5:$B$292,F11),SUMIFS('Raw Data'!$K$5:$K$292,'Raw Data'!$B$5:$B$292,F11,'Raw Data'!$A$5:$A$292,Dashboard!$F$4))</f>
        <v>7259000</v>
      </c>
    </row>
    <row r="12" spans="1:13" ht="15" customHeight="1" x14ac:dyDescent="0.3">
      <c r="A12" s="12" t="s">
        <v>89</v>
      </c>
      <c r="B12" s="14">
        <f>IF(Dashboard!$F$4="All Branches",SUMIFS('Raw Data'!$K$5:$K$292,'Raw Data'!$D$5:$D$292,A12),SUMIFS('Raw Data'!$K$5:$K$292,'Raw Data'!$D$5:$D$292,A12,'Raw Data'!$A$5:$A$292,Dashboard!$F$4))</f>
        <v>8655000</v>
      </c>
      <c r="C12" s="14">
        <f>IF(Dashboard!$F$4="All Branches",SUMIFS('Raw Data'!$M$5:$M$292,'Raw Data'!$D$5:$D$292,A12),SUMIFS('Raw Data'!$M$5:$M$292,'Raw Data'!$D$5:$D$292,A12,'Raw Data'!$A$5:$A$292,Dashboard!$F$4))</f>
        <v>3359800</v>
      </c>
      <c r="D12" s="89">
        <f>IF(Dashboard!$F$4="All Branches",SUMIFS('Raw Data'!$E$5:$E$292,'Raw Data'!$D$5:$D$292,A12),SUMIFS('Raw Data'!$E$5:$E$292,'Raw Data'!$D$5:$D$292,A12,'Raw Data'!$A$5:$A$292,Dashboard!$F$4))</f>
        <v>1067</v>
      </c>
      <c r="F12" s="12" t="s">
        <v>96</v>
      </c>
      <c r="G12" s="14">
        <f>IF(Dashboard!$F$4="All Branches",SUMIFS('Raw Data'!$K$5:$K$292,'Raw Data'!$B$5:$B$292,F12),SUMIFS('Raw Data'!$K$5:$K$292,'Raw Data'!$B$5:$B$292,F12,'Raw Data'!$A$5:$A$292,Dashboard!$F$4))</f>
        <v>12750000</v>
      </c>
    </row>
    <row r="13" spans="1:13" ht="15" customHeight="1" x14ac:dyDescent="0.3">
      <c r="A13" s="17" t="s">
        <v>90</v>
      </c>
      <c r="B13" s="19">
        <f>IF(Dashboard!$F$4="All Branches",SUMIFS('Raw Data'!$K$5:$K$292,'Raw Data'!$D$5:$D$292,A13),SUMIFS('Raw Data'!$K$5:$K$292,'Raw Data'!$D$5:$D$292,A13,'Raw Data'!$A$5:$A$292,Dashboard!$F$4))</f>
        <v>8895000</v>
      </c>
      <c r="C13" s="19">
        <f>IF(Dashboard!$F$4="All Branches",SUMIFS('Raw Data'!$M$5:$M$292,'Raw Data'!$D$5:$D$292,A13),SUMIFS('Raw Data'!$M$5:$M$292,'Raw Data'!$D$5:$D$292,A13,'Raw Data'!$A$5:$A$292,Dashboard!$F$4))</f>
        <v>3454000</v>
      </c>
      <c r="D13" s="90">
        <f>IF(Dashboard!$F$4="All Branches",SUMIFS('Raw Data'!$E$5:$E$292,'Raw Data'!$D$5:$D$292,A13),SUMIFS('Raw Data'!$E$5:$E$292,'Raw Data'!$D$5:$D$292,A13,'Raw Data'!$A$5:$A$292,Dashboard!$F$4))</f>
        <v>1093</v>
      </c>
    </row>
    <row r="14" spans="1:13" ht="15" customHeight="1" x14ac:dyDescent="0.3">
      <c r="A14" s="12" t="s">
        <v>91</v>
      </c>
      <c r="B14" s="14">
        <f>IF(Dashboard!$F$4="All Branches",SUMIFS('Raw Data'!$K$5:$K$292,'Raw Data'!$D$5:$D$292,A14),SUMIFS('Raw Data'!$K$5:$K$292,'Raw Data'!$D$5:$D$292,A14,'Raw Data'!$A$5:$A$292,Dashboard!$F$4))</f>
        <v>9194000</v>
      </c>
      <c r="C14" s="14">
        <f>IF(Dashboard!$F$4="All Branches",SUMIFS('Raw Data'!$M$5:$M$292,'Raw Data'!$D$5:$D$292,A14),SUMIFS('Raw Data'!$M$5:$M$292,'Raw Data'!$D$5:$D$292,A14,'Raw Data'!$A$5:$A$292,Dashboard!$F$4))</f>
        <v>3565600</v>
      </c>
      <c r="D14" s="89">
        <f>IF(Dashboard!$F$4="All Branches",SUMIFS('Raw Data'!$E$5:$E$292,'Raw Data'!$D$5:$D$292,A14),SUMIFS('Raw Data'!$E$5:$E$292,'Raw Data'!$D$5:$D$292,A14,'Raw Data'!$A$5:$A$292,Dashboard!$F$4))</f>
        <v>1125</v>
      </c>
    </row>
    <row r="15" spans="1:13" ht="15" customHeight="1" x14ac:dyDescent="0.3">
      <c r="A15" s="17" t="s">
        <v>92</v>
      </c>
      <c r="B15" s="19">
        <f>IF(Dashboard!$F$4="All Branches",SUMIFS('Raw Data'!$K$5:$K$292,'Raw Data'!$D$5:$D$292,A15),SUMIFS('Raw Data'!$K$5:$K$292,'Raw Data'!$D$5:$D$292,A15,'Raw Data'!$A$5:$A$292,Dashboard!$F$4))</f>
        <v>9384000</v>
      </c>
      <c r="C15" s="19">
        <f>IF(Dashboard!$F$4="All Branches",SUMIFS('Raw Data'!$M$5:$M$292,'Raw Data'!$D$5:$D$292,A15),SUMIFS('Raw Data'!$M$5:$M$292,'Raw Data'!$D$5:$D$292,A15,'Raw Data'!$A$5:$A$292,Dashboard!$F$4))</f>
        <v>3645400</v>
      </c>
      <c r="D15" s="90">
        <f>IF(Dashboard!$F$4="All Branches",SUMIFS('Raw Data'!$E$5:$E$292,'Raw Data'!$D$5:$D$292,A15),SUMIFS('Raw Data'!$E$5:$E$292,'Raw Data'!$D$5:$D$292,A15,'Raw Data'!$A$5:$A$292,Dashboard!$F$4))</f>
        <v>1158</v>
      </c>
    </row>
    <row r="16" spans="1:13" ht="15" customHeight="1" x14ac:dyDescent="0.3">
      <c r="A16" s="12" t="s">
        <v>93</v>
      </c>
      <c r="B16" s="14">
        <f>IF(Dashboard!$F$4="All Branches",SUMIFS('Raw Data'!$K$5:$K$292,'Raw Data'!$D$5:$D$292,A16),SUMIFS('Raw Data'!$K$5:$K$292,'Raw Data'!$D$5:$D$292,A16,'Raw Data'!$A$5:$A$292,Dashboard!$F$4))</f>
        <v>9695000</v>
      </c>
      <c r="C16" s="14">
        <f>IF(Dashboard!$F$4="All Branches",SUMIFS('Raw Data'!$M$5:$M$292,'Raw Data'!$D$5:$D$292,A16),SUMIFS('Raw Data'!$M$5:$M$292,'Raw Data'!$D$5:$D$292,A16,'Raw Data'!$A$5:$A$292,Dashboard!$F$4))</f>
        <v>3758800</v>
      </c>
      <c r="D16" s="89">
        <f>IF(Dashboard!$F$4="All Branches",SUMIFS('Raw Data'!$E$5:$E$292,'Raw Data'!$D$5:$D$292,A16),SUMIFS('Raw Data'!$E$5:$E$292,'Raw Data'!$D$5:$D$292,A16,'Raw Data'!$A$5:$A$292,Dashboard!$F$4))</f>
        <v>1180</v>
      </c>
    </row>
  </sheetData>
  <sheetProtection sheet="1" objects="1" scenarios="1"/>
  <mergeCells count="2">
    <mergeCell ref="A1:M1"/>
    <mergeCell ref="A2:M3"/>
  </mergeCells>
  <pageMargins left="0.4" right="0.4" top="0.5" bottom="0.5" header="0.511811023622047" footer="0.51180555555555596"/>
  <pageSetup paperSize="9" orientation="landscape" horizontalDpi="300" verticalDpi="300"/>
  <headerFooter>
    <oddFooter>&amp;L&amp;8 &amp;K666666Rifal Azhar Permana | Sales Performance Portfolio&amp;R&amp;8 &amp;K666666Page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Cover</vt:lpstr>
      <vt:lpstr>Dashboard</vt:lpstr>
      <vt:lpstr>Overview</vt:lpstr>
      <vt:lpstr>Raw Data</vt:lpstr>
      <vt:lpstr>Sales Analysis</vt:lpstr>
      <vt:lpstr>Branch Analysis</vt:lpstr>
      <vt:lpstr>Monthly Analysis</vt:lpstr>
      <vt:lpstr>Customer Analysis</vt:lpstr>
      <vt:lpstr>Summary</vt:lpstr>
      <vt:lpstr>Calculations</vt:lpstr>
      <vt:lpstr>'Branch Analysis'!Print_Area</vt:lpstr>
      <vt:lpstr>Calculations!Print_Area</vt:lpstr>
      <vt:lpstr>Cover!Print_Area</vt:lpstr>
      <vt:lpstr>'Customer Analysis'!Print_Area</vt:lpstr>
      <vt:lpstr>Dashboard!Print_Area</vt:lpstr>
      <vt:lpstr>'Monthly Analysis'!Print_Area</vt:lpstr>
      <vt:lpstr>Overview!Print_Area</vt:lpstr>
      <vt:lpstr>'Raw Data'!Print_Area</vt:lpstr>
      <vt:lpstr>'Sales Analysis'!Print_Area</vt:lpstr>
      <vt:lpstr>Summary!Print_Area</vt:lpstr>
      <vt:lpstr>'Branch Analysis'!Print_Titles</vt:lpstr>
      <vt:lpstr>Calculations!Print_Titles</vt:lpstr>
      <vt:lpstr>'Customer Analysis'!Print_Titles</vt:lpstr>
      <vt:lpstr>Dashboard!Print_Titles</vt:lpstr>
      <vt:lpstr>'Monthly Analysis'!Print_Titles</vt:lpstr>
      <vt:lpstr>'Raw Data'!Print_Titles</vt:lpstr>
      <vt:lpstr>'Sales Analysis'!Print_Titles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RIFAL AZHAR PERMANA</cp:lastModifiedBy>
  <cp:revision>26</cp:revision>
  <cp:lastPrinted>2026-08-13T02:56:45Z</cp:lastPrinted>
  <dcterms:created xsi:type="dcterms:W3CDTF">2026-08-12T10:49:09Z</dcterms:created>
  <dcterms:modified xsi:type="dcterms:W3CDTF">2026-08-13T03:02:58Z</dcterms:modified>
  <dc:language>en-US</dc:language>
</cp:coreProperties>
</file>